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8_{F86718CC-C47A-4A53-9C59-FA0732AA7112}" xr6:coauthVersionLast="47" xr6:coauthVersionMax="47" xr10:uidLastSave="{00000000-0000-0000-0000-000000000000}"/>
  <bookViews>
    <workbookView xWindow="-98" yWindow="-98" windowWidth="21795" windowHeight="12975" firstSheet="4" activeTab="9" xr2:uid="{9C504889-49C9-40B1-AAA2-560E668D4FD1}"/>
  </bookViews>
  <sheets>
    <sheet name="EXCEL 103 PRACTICE" sheetId="10" state="hidden" r:id="rId1"/>
    <sheet name="IF FUNCTION 01 Practice" sheetId="3" r:id="rId2"/>
    <sheet name="VLOOKUP FUNCTION Practice" sheetId="2" r:id="rId3"/>
    <sheet name="CUSTOMER INFO" sheetId="1" r:id="rId4"/>
    <sheet name="LEFT RIGHT MID Practice" sheetId="4" r:id="rId5"/>
    <sheet name="SUMIF Practice" sheetId="5" r:id="rId6"/>
    <sheet name="Sheet1" sheetId="12" state="hidden" r:id="rId7"/>
    <sheet name="Sheet2" sheetId="13" state="hidden" r:id="rId8"/>
    <sheet name="Sheet3" sheetId="14" state="hidden" r:id="rId9"/>
    <sheet name="Shipping Cost" sheetId="15" r:id="rId10"/>
    <sheet name="Sheet4" sheetId="16" state="hidden" r:id="rId11"/>
    <sheet name="Pivotables" sheetId="11" r:id="rId12"/>
  </sheets>
  <definedNames>
    <definedName name="ratings">Table6[[#All],[RATING]]</definedName>
  </definedNames>
  <calcPr calcId="191029"/>
  <pivotCaches>
    <pivotCache cacheId="2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5" l="1"/>
  <c r="I8" i="5"/>
  <c r="J8" i="5"/>
  <c r="H11" i="4"/>
  <c r="G11" i="4"/>
  <c r="F11" i="4"/>
  <c r="H12" i="4"/>
  <c r="H13" i="4"/>
  <c r="H14" i="4"/>
  <c r="H15" i="4"/>
  <c r="H16" i="4"/>
  <c r="H17" i="4"/>
  <c r="G12" i="4"/>
  <c r="G13" i="4"/>
  <c r="G14" i="4"/>
  <c r="G15" i="4"/>
  <c r="G16" i="4"/>
  <c r="G17" i="4"/>
  <c r="F12" i="4"/>
  <c r="F13" i="4"/>
  <c r="F14" i="4"/>
  <c r="F15" i="4"/>
  <c r="F16" i="4"/>
  <c r="F17" i="4"/>
  <c r="E12" i="4"/>
  <c r="E13" i="4"/>
  <c r="E14" i="4"/>
  <c r="E15" i="4"/>
  <c r="E16" i="4"/>
  <c r="E17" i="4"/>
  <c r="E11" i="4"/>
  <c r="D11" i="4"/>
  <c r="D12" i="4"/>
  <c r="D13" i="4"/>
  <c r="D14" i="4"/>
  <c r="D15" i="4"/>
  <c r="D16" i="4"/>
  <c r="D17" i="4"/>
  <c r="C13" i="4"/>
  <c r="C14" i="4"/>
  <c r="C15" i="4"/>
  <c r="C16" i="4"/>
  <c r="C17" i="4"/>
  <c r="C12" i="4"/>
  <c r="F12" i="2"/>
  <c r="D12" i="2"/>
  <c r="J9" i="2"/>
  <c r="I9" i="2"/>
  <c r="H9" i="2"/>
  <c r="G9" i="2"/>
  <c r="F9" i="2"/>
  <c r="D9" i="2"/>
  <c r="D11" i="3"/>
  <c r="D12" i="3"/>
  <c r="D13" i="3"/>
  <c r="D14" i="3"/>
  <c r="D15" i="3"/>
  <c r="D16" i="3"/>
  <c r="D17" i="3"/>
  <c r="D18" i="3"/>
  <c r="D19" i="3"/>
  <c r="D20" i="3"/>
  <c r="D10" i="3"/>
  <c r="H840" i="11"/>
  <c r="C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Kyle Pew</author>
  </authors>
  <commentList>
    <comment ref="B9" authorId="0" shapeId="0" xr:uid="{D55D8FFA-CB62-40CA-81D1-23A0EC289207}">
      <text>
        <r>
          <rPr>
            <b/>
            <sz val="9"/>
            <color indexed="81"/>
            <rFont val="Tahoma"/>
            <family val="2"/>
          </rPr>
          <t>SELECT CUSTOMER ID</t>
        </r>
      </text>
    </comment>
  </commentList>
</comments>
</file>

<file path=xl/sharedStrings.xml><?xml version="1.0" encoding="utf-8"?>
<sst xmlns="http://schemas.openxmlformats.org/spreadsheetml/2006/main" count="4477" uniqueCount="871">
  <si>
    <t>ALFKI</t>
  </si>
  <si>
    <t>Alfreds Futterkiste</t>
  </si>
  <si>
    <t>Maria Anders</t>
  </si>
  <si>
    <t>Obere Str. 57</t>
  </si>
  <si>
    <t>Berlin</t>
  </si>
  <si>
    <t/>
  </si>
  <si>
    <t>12209</t>
  </si>
  <si>
    <t>Germany</t>
  </si>
  <si>
    <t>030-0074321</t>
  </si>
  <si>
    <t>ANATR</t>
  </si>
  <si>
    <t>Ana Trujillo Emparedados y helados</t>
  </si>
  <si>
    <t>Ana Trujillo</t>
  </si>
  <si>
    <t>Avda. de la Constitución 2222</t>
  </si>
  <si>
    <t>México D.F.</t>
  </si>
  <si>
    <t>05021</t>
  </si>
  <si>
    <t>Mexico</t>
  </si>
  <si>
    <t>(5) 555-4729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</si>
  <si>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</si>
  <si>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</si>
  <si>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</si>
  <si>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</si>
  <si>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</si>
  <si>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</si>
  <si>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</si>
  <si>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</si>
  <si>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</si>
  <si>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</si>
  <si>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</si>
  <si>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</si>
  <si>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</si>
  <si>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</si>
  <si>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BERGS</t>
  </si>
  <si>
    <t>Berglunds snabbköp</t>
  </si>
  <si>
    <t>Christina Berglund</t>
  </si>
  <si>
    <t>Berguvsvägen  8</t>
  </si>
  <si>
    <t>Luleå</t>
  </si>
  <si>
    <t>S-958 22</t>
  </si>
  <si>
    <t>Sweden</t>
  </si>
  <si>
    <t>0921-12 34 65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</si>
  <si>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</si>
  <si>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</si>
  <si>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</si>
  <si>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</si>
  <si>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</si>
  <si>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</si>
  <si>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</si>
  <si>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BLONP</t>
  </si>
  <si>
    <t>Blondel père et fils</t>
  </si>
  <si>
    <t>Frédérique Citeaux</t>
  </si>
  <si>
    <t>24, place Kléber</t>
  </si>
  <si>
    <t>Strasbourg</t>
  </si>
  <si>
    <t>67000</t>
  </si>
  <si>
    <t>France</t>
  </si>
  <si>
    <t>88.60.15.31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</si>
  <si>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</si>
  <si>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</si>
  <si>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</si>
  <si>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</si>
  <si>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</si>
  <si>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</si>
  <si>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</si>
  <si>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</si>
  <si>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</si>
  <si>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</si>
  <si>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</si>
  <si>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</si>
  <si>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</si>
  <si>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</si>
  <si>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</si>
  <si>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BOTTM</t>
  </si>
  <si>
    <t>Bottom-Dollar Markets</t>
  </si>
  <si>
    <t>Elizabeth Lincoln</t>
  </si>
  <si>
    <t>23 Tsawassen Blvd.</t>
  </si>
  <si>
    <t>Tsawassen</t>
  </si>
  <si>
    <t>BC</t>
  </si>
  <si>
    <t>T2F 8M4</t>
  </si>
  <si>
    <t>Canada</t>
  </si>
  <si>
    <t>(604) 555-4729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</si>
  <si>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</si>
  <si>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</si>
  <si>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</si>
  <si>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</si>
  <si>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</si>
  <si>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</si>
  <si>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</si>
  <si>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</si>
  <si>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</si>
  <si>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Cerrito 333</t>
  </si>
  <si>
    <t>Buenos Aires</t>
  </si>
  <si>
    <t>1010</t>
  </si>
  <si>
    <t>Argentina</t>
  </si>
  <si>
    <t>(1) 135-5555</t>
  </si>
  <si>
    <t>CENTC</t>
  </si>
  <si>
    <t>Centro comercial Moctezuma</t>
  </si>
  <si>
    <t>Francisco Chang</t>
  </si>
  <si>
    <t>Sierras de Granada 9993</t>
  </si>
  <si>
    <t>05022</t>
  </si>
  <si>
    <t>(5) 555-3392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</si>
  <si>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</si>
  <si>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</si>
  <si>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</si>
  <si>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</si>
  <si>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</si>
  <si>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</si>
  <si>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</si>
  <si>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</si>
  <si>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</si>
  <si>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</si>
  <si>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</si>
  <si>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Av. dos Lusíadas, 23</t>
  </si>
  <si>
    <t>São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</si>
  <si>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</si>
  <si>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</si>
  <si>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</si>
  <si>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</si>
  <si>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</si>
  <si>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</si>
  <si>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</si>
  <si>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 xml:space="preserve">Berkeley Gardens 12  Brewery </t>
  </si>
  <si>
    <t>WX1 6LT</t>
  </si>
  <si>
    <t>(171) 555-2282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</si>
  <si>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</si>
  <si>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</si>
  <si>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</si>
  <si>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</si>
  <si>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</si>
  <si>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</si>
  <si>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</si>
  <si>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</si>
  <si>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</si>
  <si>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</si>
  <si>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</si>
  <si>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</si>
  <si>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</si>
  <si>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</si>
  <si>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EASTC</t>
  </si>
  <si>
    <t>Eastern Connection</t>
  </si>
  <si>
    <t>Ann Devon</t>
  </si>
  <si>
    <t>35 King George</t>
  </si>
  <si>
    <t>WX3 6FW</t>
  </si>
  <si>
    <t>(171) 555-0297</t>
  </si>
  <si>
    <t>ERNSH</t>
  </si>
  <si>
    <t>Ernst Handel</t>
  </si>
  <si>
    <t>Roland Mendel</t>
  </si>
  <si>
    <t>Kirchgasse 6</t>
  </si>
  <si>
    <t>Graz</t>
  </si>
  <si>
    <t>8010</t>
  </si>
  <si>
    <t>Austria</t>
  </si>
  <si>
    <t>7675-3425</t>
  </si>
  <si>
    <t>FAMIA</t>
  </si>
  <si>
    <t>Familia Arquibaldo</t>
  </si>
  <si>
    <t>Aria Cruz</t>
  </si>
  <si>
    <t>Rua Orós, 92</t>
  </si>
  <si>
    <t>05442-030</t>
  </si>
  <si>
    <t>(11) 555-9857</t>
  </si>
  <si>
    <t>FISSA</t>
  </si>
  <si>
    <t>FISSA Fabrica Inter. Salchichas S.A.</t>
  </si>
  <si>
    <t>Diego Roel</t>
  </si>
  <si>
    <t>C/ Moralzarzal, 86</t>
  </si>
  <si>
    <t>28034</t>
  </si>
  <si>
    <t>(91) 555 94 44</t>
  </si>
  <si>
    <t>FOLIG</t>
  </si>
  <si>
    <t>Folies gourmandes</t>
  </si>
  <si>
    <t>Martine Rancé</t>
  </si>
  <si>
    <t>184, chaussée de Tournai</t>
  </si>
  <si>
    <t>Lille</t>
  </si>
  <si>
    <t>59000</t>
  </si>
  <si>
    <t>20.16.10.16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</si>
  <si>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</si>
  <si>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</si>
  <si>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</si>
  <si>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</si>
  <si>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</si>
  <si>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</si>
  <si>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</si>
  <si>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</si>
  <si>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</si>
  <si>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</si>
  <si>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</si>
  <si>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</si>
  <si>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</si>
  <si>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</si>
  <si>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FRANR</t>
  </si>
  <si>
    <t>France restauration</t>
  </si>
  <si>
    <t>Carine Schmitt</t>
  </si>
  <si>
    <t>54, rue Royale</t>
  </si>
  <si>
    <t>40.32.21.21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</si>
  <si>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</si>
  <si>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</si>
  <si>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</si>
  <si>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</si>
  <si>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</si>
  <si>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</si>
  <si>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</si>
  <si>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</si>
  <si>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</si>
  <si>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</si>
  <si>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</si>
  <si>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</si>
  <si>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</si>
  <si>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</si>
  <si>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</si>
  <si>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(1) 354-2534</t>
  </si>
  <si>
    <t>GALED</t>
  </si>
  <si>
    <t>Galería del gastrónomo</t>
  </si>
  <si>
    <t>Eduardo Saavedra</t>
  </si>
  <si>
    <t>Rambla de Cataluña, 23</t>
  </si>
  <si>
    <t>Barcelona</t>
  </si>
  <si>
    <t>08022</t>
  </si>
  <si>
    <t>(93) 203 4560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</si>
  <si>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</si>
  <si>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</si>
  <si>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</si>
  <si>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</si>
  <si>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</si>
  <si>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</si>
  <si>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</si>
  <si>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</si>
  <si>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</si>
  <si>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</si>
  <si>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</si>
  <si>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</si>
  <si>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</si>
  <si>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</si>
  <si>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</si>
  <si>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</si>
  <si>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</si>
  <si>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</si>
  <si>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</si>
  <si>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</si>
  <si>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</si>
  <si>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</si>
  <si>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</si>
  <si>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</si>
  <si>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</si>
  <si>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</si>
  <si>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</si>
  <si>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</si>
  <si>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</si>
  <si>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</si>
  <si>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</si>
  <si>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</si>
  <si>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</si>
  <si>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</si>
  <si>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</si>
  <si>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</si>
  <si>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</si>
  <si>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</si>
  <si>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</si>
  <si>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</si>
  <si>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</si>
  <si>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</si>
  <si>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</si>
  <si>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</si>
  <si>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</si>
  <si>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</si>
  <si>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</si>
  <si>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</si>
  <si>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HUNGC</t>
  </si>
  <si>
    <t>Hungry Coyote Import Store</t>
  </si>
  <si>
    <t>Yoshi Latimer</t>
  </si>
  <si>
    <t>City Center Plaza 516 Main St.</t>
  </si>
  <si>
    <t>Elgin</t>
  </si>
  <si>
    <t>97827</t>
  </si>
  <si>
    <t>(503) 555-6874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</si>
  <si>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</si>
  <si>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</si>
  <si>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</si>
  <si>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</si>
  <si>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</si>
  <si>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</si>
  <si>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</si>
  <si>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</si>
  <si>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ISLAT</t>
  </si>
  <si>
    <t>Island Trading</t>
  </si>
  <si>
    <t>Helen Bennett</t>
  </si>
  <si>
    <t>Garden House Crowther Way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</si>
  <si>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</si>
  <si>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</si>
  <si>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</si>
  <si>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</si>
  <si>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</si>
  <si>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</si>
  <si>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</si>
  <si>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</si>
  <si>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</si>
  <si>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</si>
  <si>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</si>
  <si>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</si>
  <si>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</si>
  <si>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</si>
  <si>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</si>
  <si>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</si>
  <si>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</si>
  <si>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</si>
  <si>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</si>
  <si>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</si>
  <si>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</si>
  <si>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</si>
  <si>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</si>
  <si>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</si>
  <si>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</si>
  <si>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</si>
  <si>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</si>
  <si>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</si>
  <si>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</si>
  <si>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</si>
  <si>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</si>
  <si>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</si>
  <si>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</si>
  <si>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</si>
  <si>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</si>
  <si>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</si>
  <si>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</si>
  <si>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</si>
  <si>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</si>
  <si>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</si>
  <si>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</si>
  <si>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</si>
  <si>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</si>
  <si>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</si>
  <si>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</si>
  <si>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</si>
  <si>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069-0245984</t>
  </si>
  <si>
    <t>LETSS</t>
  </si>
  <si>
    <t>Let's Stop N Shop</t>
  </si>
  <si>
    <t>Jaime Yorres</t>
  </si>
  <si>
    <t>87 Polk St. Suite 5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</si>
  <si>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</si>
  <si>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</si>
  <si>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</si>
  <si>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</si>
  <si>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</si>
  <si>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</si>
  <si>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</si>
  <si>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</si>
  <si>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</si>
  <si>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</si>
  <si>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</si>
  <si>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</si>
  <si>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</si>
  <si>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</si>
  <si>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</si>
  <si>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</si>
  <si>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</si>
  <si>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</si>
  <si>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</si>
  <si>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</si>
  <si>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</si>
  <si>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</si>
  <si>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</si>
  <si>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</si>
  <si>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</si>
  <si>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</si>
  <si>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</si>
  <si>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</si>
  <si>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</si>
  <si>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</si>
  <si>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</si>
  <si>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</si>
  <si>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</si>
  <si>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</si>
  <si>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</si>
  <si>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</si>
  <si>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</si>
  <si>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</si>
  <si>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</si>
  <si>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</si>
  <si>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</si>
  <si>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</si>
  <si>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</si>
  <si>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</si>
  <si>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</si>
  <si>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</si>
  <si>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</si>
  <si>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</si>
  <si>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</si>
  <si>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</si>
  <si>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</si>
  <si>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</si>
  <si>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</si>
  <si>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</si>
  <si>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</si>
  <si>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</si>
  <si>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</si>
  <si>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</si>
  <si>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</si>
  <si>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</si>
  <si>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South House 300 Queensbridge</t>
  </si>
  <si>
    <t>SW7 1RZ</t>
  </si>
  <si>
    <t>(171) 555-7733</t>
  </si>
  <si>
    <t>OCEAN</t>
  </si>
  <si>
    <t>Océano Atlántico Ltda.</t>
  </si>
  <si>
    <t>Yvonne Moncada</t>
  </si>
  <si>
    <t>Ing. Gustavo Moncada 8585 Piso 20-A</t>
  </si>
  <si>
    <t>(1) 135-5333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</si>
  <si>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</si>
  <si>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</si>
  <si>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</si>
  <si>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</si>
  <si>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</si>
  <si>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</si>
  <si>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</si>
  <si>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</si>
  <si>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</si>
  <si>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</si>
  <si>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</si>
  <si>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</si>
  <si>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</si>
  <si>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</si>
  <si>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</si>
  <si>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PARIS</t>
  </si>
  <si>
    <t>Paris spécialités</t>
  </si>
  <si>
    <t>Marie Bertrand</t>
  </si>
  <si>
    <t>265, boulevard Charonne</t>
  </si>
  <si>
    <t>Paris</t>
  </si>
  <si>
    <t>75012</t>
  </si>
  <si>
    <t>(1) 42.34.22.66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</si>
  <si>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</si>
  <si>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</si>
  <si>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</si>
  <si>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</si>
  <si>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</si>
  <si>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</si>
  <si>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</si>
  <si>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</si>
  <si>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</si>
  <si>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</si>
  <si>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</si>
  <si>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</si>
  <si>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</si>
  <si>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</si>
  <si>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</si>
  <si>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</si>
  <si>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</si>
  <si>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</si>
  <si>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</si>
  <si>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</si>
  <si>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</si>
  <si>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</si>
  <si>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</si>
  <si>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</si>
  <si>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</si>
  <si>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</si>
  <si>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</si>
  <si>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</si>
  <si>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</si>
  <si>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</si>
  <si>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</si>
  <si>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</si>
  <si>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</si>
  <si>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</si>
  <si>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</si>
  <si>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</si>
  <si>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</si>
  <si>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</si>
  <si>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</si>
  <si>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</si>
  <si>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</si>
  <si>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</si>
  <si>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</si>
  <si>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RATTC</t>
  </si>
  <si>
    <t>Rattlesnake Canyon Grocery</t>
  </si>
  <si>
    <t>Paula Wilson</t>
  </si>
  <si>
    <t>2817 Milton Dr.</t>
  </si>
  <si>
    <t>Albuquerque</t>
  </si>
  <si>
    <t>NM</t>
  </si>
  <si>
    <t>87110</t>
  </si>
  <si>
    <t>(505) 555-5939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</si>
  <si>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</si>
  <si>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</si>
  <si>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</si>
  <si>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</si>
  <si>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</si>
  <si>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</si>
  <si>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</si>
  <si>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</si>
  <si>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</si>
  <si>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</si>
  <si>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</si>
  <si>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</si>
  <si>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</si>
  <si>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</si>
  <si>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</si>
  <si>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</si>
  <si>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</si>
  <si>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</si>
  <si>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</si>
  <si>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</si>
  <si>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</si>
  <si>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</si>
  <si>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</si>
  <si>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</si>
  <si>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</si>
  <si>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</si>
  <si>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</si>
  <si>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</si>
  <si>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</si>
  <si>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</si>
  <si>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</si>
  <si>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</si>
  <si>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</si>
  <si>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</si>
  <si>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</si>
  <si>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</si>
  <si>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</si>
  <si>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</si>
  <si>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</si>
  <si>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</si>
  <si>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</si>
  <si>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</si>
  <si>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</si>
  <si>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</si>
  <si>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</si>
  <si>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</si>
  <si>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</si>
  <si>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</si>
  <si>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</si>
  <si>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</si>
  <si>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</si>
  <si>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</si>
  <si>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</si>
  <si>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</si>
  <si>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</si>
  <si>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31 12 34 56</t>
  </si>
  <si>
    <t>SPECD</t>
  </si>
  <si>
    <t>Spécialités du monde</t>
  </si>
  <si>
    <t>Dominique Perrier</t>
  </si>
  <si>
    <t>25, rue Lauriston</t>
  </si>
  <si>
    <t>75016</t>
  </si>
  <si>
    <t>(1) 47.55.60.10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</si>
  <si>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</si>
  <si>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</si>
  <si>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</si>
  <si>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</si>
  <si>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</si>
  <si>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</si>
  <si>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</si>
  <si>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</si>
  <si>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</si>
  <si>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</si>
  <si>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</si>
  <si>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</si>
  <si>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</si>
  <si>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</si>
  <si>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</si>
  <si>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THEBI</t>
  </si>
  <si>
    <t>The Big Cheese</t>
  </si>
  <si>
    <t>Liz Nixon</t>
  </si>
  <si>
    <t>89 Jefferson Way
Suite 2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</si>
  <si>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</si>
  <si>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</si>
  <si>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</si>
  <si>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</si>
  <si>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</si>
  <si>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</si>
  <si>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</si>
  <si>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</si>
  <si>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</si>
  <si>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</si>
  <si>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</si>
  <si>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</si>
  <si>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</si>
  <si>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</si>
  <si>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</si>
  <si>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</si>
  <si>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</si>
  <si>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</si>
  <si>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</si>
  <si>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</si>
  <si>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</si>
  <si>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</si>
  <si>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</si>
  <si>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</si>
  <si>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</si>
  <si>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</si>
  <si>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</si>
  <si>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</si>
  <si>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</si>
  <si>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</si>
  <si>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</si>
  <si>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</si>
  <si>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</si>
  <si>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</si>
  <si>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</si>
  <si>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VAFFE</t>
  </si>
  <si>
    <t>Vaffeljernet</t>
  </si>
  <si>
    <t>Palle Ibsen</t>
  </si>
  <si>
    <t>Smagsløget 45</t>
  </si>
  <si>
    <t>Århus</t>
  </si>
  <si>
    <t>8200</t>
  </si>
  <si>
    <t>86 21 32 43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</si>
  <si>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</si>
  <si>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</si>
  <si>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</si>
  <si>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</si>
  <si>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</si>
  <si>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</si>
  <si>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</si>
  <si>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</si>
  <si>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</si>
  <si>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</si>
  <si>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</si>
  <si>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</si>
  <si>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</si>
  <si>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</si>
  <si>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</si>
  <si>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</si>
  <si>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</si>
  <si>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</si>
  <si>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</si>
  <si>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</si>
  <si>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</si>
  <si>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</si>
  <si>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</si>
  <si>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</si>
  <si>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</si>
  <si>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</si>
  <si>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</si>
  <si>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</si>
  <si>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</si>
  <si>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</si>
  <si>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</si>
  <si>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</si>
  <si>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</si>
  <si>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</si>
  <si>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</si>
  <si>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</si>
  <si>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</si>
  <si>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</si>
  <si>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</si>
  <si>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305 - 14th Ave. S. Suite 3B</t>
  </si>
  <si>
    <t>Seattle</t>
  </si>
  <si>
    <t>98128</t>
  </si>
  <si>
    <t>(206) 555-4112</t>
  </si>
  <si>
    <t>WILMK</t>
  </si>
  <si>
    <t>Wilman Kala</t>
  </si>
  <si>
    <t>Matti Karttunen</t>
  </si>
  <si>
    <t>Keskuskatu 45</t>
  </si>
  <si>
    <t>Helsinki</t>
  </si>
  <si>
    <t>21240</t>
  </si>
  <si>
    <t>90-224 8858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</si>
  <si>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</si>
  <si>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</si>
  <si>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</si>
  <si>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</si>
  <si>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</si>
  <si>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</si>
  <si>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</si>
  <si>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(26) 642-7012</t>
  </si>
  <si>
    <t>Customer ID</t>
  </si>
  <si>
    <t>Company Name</t>
  </si>
  <si>
    <t>Contact Name</t>
  </si>
  <si>
    <t>Address</t>
  </si>
  <si>
    <t>City</t>
  </si>
  <si>
    <t>Region</t>
  </si>
  <si>
    <t>Postal Code</t>
  </si>
  <si>
    <t>Country</t>
  </si>
  <si>
    <t>Phone</t>
  </si>
  <si>
    <t>CUSTOMER ID</t>
  </si>
  <si>
    <t>COMPANY NAME</t>
  </si>
  <si>
    <t>CONTACT NAME</t>
  </si>
  <si>
    <t>PHONE</t>
  </si>
  <si>
    <t>ADDRESS</t>
  </si>
  <si>
    <t>CITY</t>
  </si>
  <si>
    <t>REGION</t>
  </si>
  <si>
    <t>COUNTRY</t>
  </si>
  <si>
    <t>IF() FUNCTION PRACTICE</t>
  </si>
  <si>
    <t>VLOOKUP() FUNCTION PRACTICE</t>
  </si>
  <si>
    <t>PERCENTAGE</t>
  </si>
  <si>
    <t>Logan</t>
  </si>
  <si>
    <t>PROJECTS</t>
  </si>
  <si>
    <t>PROJECT A</t>
  </si>
  <si>
    <t>PROJECT B</t>
  </si>
  <si>
    <t>PROJECT C</t>
  </si>
  <si>
    <t>PROJECT D</t>
  </si>
  <si>
    <t>PROJECT E</t>
  </si>
  <si>
    <t>PROJECT F</t>
  </si>
  <si>
    <t>PROJECT G</t>
  </si>
  <si>
    <t>PROJECT H</t>
  </si>
  <si>
    <t>PROJECT I</t>
  </si>
  <si>
    <t>PROJECT J</t>
  </si>
  <si>
    <t>PROJECT K</t>
  </si>
  <si>
    <t>STATUS</t>
  </si>
  <si>
    <t>LEFT() RIGHT() &amp; MID() FUNCTION PRACTICE</t>
  </si>
  <si>
    <t>YEAR</t>
  </si>
  <si>
    <t>BRANCH</t>
  </si>
  <si>
    <t>TRAINING CODE</t>
  </si>
  <si>
    <t>CLASS</t>
  </si>
  <si>
    <t>LEVEL</t>
  </si>
  <si>
    <t>EX-SF-2019-01</t>
  </si>
  <si>
    <t>01</t>
  </si>
  <si>
    <t>02</t>
  </si>
  <si>
    <t>03</t>
  </si>
  <si>
    <t>BEGINNER</t>
  </si>
  <si>
    <t>INTERMEDIATE</t>
  </si>
  <si>
    <t>ADVANCED</t>
  </si>
  <si>
    <t>CUSTOM</t>
  </si>
  <si>
    <t>04</t>
  </si>
  <si>
    <t>LEVEL CODE</t>
  </si>
  <si>
    <t>CLASS CODE</t>
  </si>
  <si>
    <t>EX</t>
  </si>
  <si>
    <t>WD</t>
  </si>
  <si>
    <t>PP</t>
  </si>
  <si>
    <t>AC</t>
  </si>
  <si>
    <t>EXCEL</t>
  </si>
  <si>
    <t>WORD</t>
  </si>
  <si>
    <t>POWERPOINT</t>
  </si>
  <si>
    <t>ACCESS</t>
  </si>
  <si>
    <t>OU</t>
  </si>
  <si>
    <t>OUTLOOK</t>
  </si>
  <si>
    <t>EX-SL-2020-02</t>
  </si>
  <si>
    <t>WD-SL-2019-01</t>
  </si>
  <si>
    <t>AC-LA-2020-01</t>
  </si>
  <si>
    <t>EX-SL-2020-03</t>
  </si>
  <si>
    <t>OU-SF-2019-01</t>
  </si>
  <si>
    <t>PP-SL-2019-02</t>
  </si>
  <si>
    <t>SUMIF() FUNCTION PRACTICE</t>
  </si>
  <si>
    <t>Toy Story 4</t>
  </si>
  <si>
    <t>The Lion King</t>
  </si>
  <si>
    <t>Toy Story 3</t>
  </si>
  <si>
    <t>Finding Nemo</t>
  </si>
  <si>
    <t>Monsters, Inc.</t>
  </si>
  <si>
    <t>Monsters University</t>
  </si>
  <si>
    <t>Toy Story 2</t>
  </si>
  <si>
    <t>Cars</t>
  </si>
  <si>
    <t>WALL·E</t>
  </si>
  <si>
    <t>Toy Story</t>
  </si>
  <si>
    <t>Beauty and the Beast</t>
  </si>
  <si>
    <t>Aladdin</t>
  </si>
  <si>
    <t>Ratatouille</t>
  </si>
  <si>
    <t>Gone with the Wind</t>
  </si>
  <si>
    <t>Cars 2</t>
  </si>
  <si>
    <t>MOVIE</t>
  </si>
  <si>
    <t>GROSS</t>
  </si>
  <si>
    <t>RATING</t>
  </si>
  <si>
    <t>G</t>
  </si>
  <si>
    <t>Incredibles 2</t>
  </si>
  <si>
    <t>Finding Dory</t>
  </si>
  <si>
    <t>Frozen II</t>
  </si>
  <si>
    <t>Star Wars: Episode I - The Phantom Menace</t>
  </si>
  <si>
    <t>Star Wars: Episode IV - A New Hope</t>
  </si>
  <si>
    <t>Shrek 2</t>
  </si>
  <si>
    <t>E.T. the Extra-Terrestrial</t>
  </si>
  <si>
    <t>Frozen</t>
  </si>
  <si>
    <t>The Secret Life of Pets</t>
  </si>
  <si>
    <t>Despicable Me 2</t>
  </si>
  <si>
    <t>The Jungle Book</t>
  </si>
  <si>
    <t>Inside Out</t>
  </si>
  <si>
    <t>Zootopia</t>
  </si>
  <si>
    <t>Minions</t>
  </si>
  <si>
    <t>Alice in Wonderland</t>
  </si>
  <si>
    <t>Shrek the Third</t>
  </si>
  <si>
    <t>Harry Potter and the Sorcerer's Stone</t>
  </si>
  <si>
    <t>Star Wars: Episode II - Attack of the Clones</t>
  </si>
  <si>
    <t>Star Wars: Episode VI - Return of the Jedi</t>
  </si>
  <si>
    <t>Harry Potter and the Half-Blood Prince</t>
  </si>
  <si>
    <t>Up</t>
  </si>
  <si>
    <t>PG</t>
  </si>
  <si>
    <t>Star Wars: Episode VII - The Force Awakens</t>
  </si>
  <si>
    <t>Avengers: Endgame</t>
  </si>
  <si>
    <t>Avatar</t>
  </si>
  <si>
    <t>Black Panther</t>
  </si>
  <si>
    <t>Avengers: Infinity War</t>
  </si>
  <si>
    <t>Titanic</t>
  </si>
  <si>
    <t>Jurassic World</t>
  </si>
  <si>
    <t>The Avengers</t>
  </si>
  <si>
    <t>Star Wars: Episode VIII - The Last Jedi</t>
  </si>
  <si>
    <t>The Dark Knight</t>
  </si>
  <si>
    <t>Rogue One: A Star Wars Story</t>
  </si>
  <si>
    <t>Star Wars: Episode IX - The Rise of Skywalker</t>
  </si>
  <si>
    <t>Avengers: Age of Ultron</t>
  </si>
  <si>
    <t>The Dark Knight Rises</t>
  </si>
  <si>
    <t>Captain Marvel</t>
  </si>
  <si>
    <t>The Hunger Games: Catching Fire</t>
  </si>
  <si>
    <t>Pirates of the Caribbean: Dead Man's Chest</t>
  </si>
  <si>
    <t>Jurassic World: Fallen Kingdom</t>
  </si>
  <si>
    <t>Wonder Woman</t>
  </si>
  <si>
    <t>Iron Man 3</t>
  </si>
  <si>
    <t>Captain America: Civil War</t>
  </si>
  <si>
    <t>The Hunger Games</t>
  </si>
  <si>
    <t>Spider-Man</t>
  </si>
  <si>
    <t>Jumanji: Welcome to the Jungle</t>
  </si>
  <si>
    <t>Jurassic Park</t>
  </si>
  <si>
    <t>Transformers: Revenge of the Fallen</t>
  </si>
  <si>
    <t>Spider-Man: Far from Home</t>
  </si>
  <si>
    <t>Guardians of the Galaxy Vol. 2</t>
  </si>
  <si>
    <t>Harry Potter and the Deathly Hallows: Part 2</t>
  </si>
  <si>
    <t>Star Wars: Episode III - Revenge of the Sith</t>
  </si>
  <si>
    <t>The Lord of the Rings: The Return of the King</t>
  </si>
  <si>
    <t>Spider-Man 2</t>
  </si>
  <si>
    <t>Furious 7</t>
  </si>
  <si>
    <t>Transformers: Dark of the Moon</t>
  </si>
  <si>
    <t>The Lord of the Rings: The Two Towers</t>
  </si>
  <si>
    <t>The Hunger Games: Mockingjay - Part 1</t>
  </si>
  <si>
    <t>PG-13</t>
  </si>
  <si>
    <t>The Passion of the Christ</t>
  </si>
  <si>
    <t>Deadpool</t>
  </si>
  <si>
    <t>American Sniper</t>
  </si>
  <si>
    <t>Joker</t>
  </si>
  <si>
    <t>It</t>
  </si>
  <si>
    <t>Deadpool 2</t>
  </si>
  <si>
    <t>The Matrix Reloaded</t>
  </si>
  <si>
    <t>The Hangover</t>
  </si>
  <si>
    <t>The Hangover Part II</t>
  </si>
  <si>
    <t>Beverly Hills Cop</t>
  </si>
  <si>
    <t>The Exorcist</t>
  </si>
  <si>
    <t>Ted</t>
  </si>
  <si>
    <t>Saving Private Ryan</t>
  </si>
  <si>
    <t>A Star Is Born</t>
  </si>
  <si>
    <t>It Chapter Two</t>
  </si>
  <si>
    <t>Wedding Crashers</t>
  </si>
  <si>
    <t>Terminator 2: Judgment Day</t>
  </si>
  <si>
    <t>Bad Boys for Life</t>
  </si>
  <si>
    <t>22 Jump Street</t>
  </si>
  <si>
    <t>Gladiator</t>
  </si>
  <si>
    <t>The Revenant</t>
  </si>
  <si>
    <t>Pretty Woman</t>
  </si>
  <si>
    <t>There's Something About Mary</t>
  </si>
  <si>
    <t>Get Out</t>
  </si>
  <si>
    <t>Us</t>
  </si>
  <si>
    <t>Air Force One</t>
  </si>
  <si>
    <t>Rain Man</t>
  </si>
  <si>
    <t>The Matrix</t>
  </si>
  <si>
    <t>John Wick: Chapter 3 - Parabellum</t>
  </si>
  <si>
    <t>Bridesmaids</t>
  </si>
  <si>
    <t>Gone Girl</t>
  </si>
  <si>
    <t>Fifty Shades of Grey</t>
  </si>
  <si>
    <t>Hannibal</t>
  </si>
  <si>
    <t>Django Unchained</t>
  </si>
  <si>
    <t>Straight Outta Compton</t>
  </si>
  <si>
    <t>The Heat</t>
  </si>
  <si>
    <t>Halloween</t>
  </si>
  <si>
    <t>The Firm</t>
  </si>
  <si>
    <t>Scary Movie</t>
  </si>
  <si>
    <t>Fatal Attraction</t>
  </si>
  <si>
    <t>Mad Max: Fury Road</t>
  </si>
  <si>
    <t>Jerry Maguire</t>
  </si>
  <si>
    <t>R</t>
  </si>
  <si>
    <t>1917</t>
  </si>
  <si>
    <t>300</t>
  </si>
  <si>
    <t>TOTAL GROSS</t>
  </si>
  <si>
    <t>MOVIE COUNT</t>
  </si>
  <si>
    <t>POSTAL CODE</t>
  </si>
  <si>
    <t>CLASS NAME</t>
  </si>
  <si>
    <t>PIVOTTABLES</t>
  </si>
  <si>
    <t>Order ID</t>
  </si>
  <si>
    <t>Customer</t>
  </si>
  <si>
    <t>Employee</t>
  </si>
  <si>
    <t>Order Date</t>
  </si>
  <si>
    <t>Shipped Date</t>
  </si>
  <si>
    <t>Ship Via</t>
  </si>
  <si>
    <t>Freight</t>
  </si>
  <si>
    <t>Ship Country</t>
  </si>
  <si>
    <t>Buchanan, Steven</t>
  </si>
  <si>
    <t>Federal Shipping</t>
  </si>
  <si>
    <t>Suyama, Michael</t>
  </si>
  <si>
    <t>Speedy Express</t>
  </si>
  <si>
    <t>Peacock, Margaret</t>
  </si>
  <si>
    <t>United Package</t>
  </si>
  <si>
    <t>Leverling, Janet</t>
  </si>
  <si>
    <t>Dodsworth, Anne</t>
  </si>
  <si>
    <t>Davolio, Nancy</t>
  </si>
  <si>
    <t>Callahan, Laura</t>
  </si>
  <si>
    <t>Fuller, Andrew</t>
  </si>
  <si>
    <t>King, Robert</t>
  </si>
  <si>
    <t>Total</t>
  </si>
  <si>
    <t>Row Labels</t>
  </si>
  <si>
    <t>Grand Total</t>
  </si>
  <si>
    <t>Sum of Freight</t>
  </si>
  <si>
    <t>Average of Freight2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</si>
</sst>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6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</cellStyleXfs>
  <cellXfs count="28">
    <xf numFmtId="0" fontId="0" fillId="0" borderId="0" xfId="0"/>
    <xf numFmtId="0" fontId="4" fillId="0" borderId="1" xfId="3" applyFont="1" applyBorder="1" applyAlignment="1">
      <alignment wrapText="1"/>
    </xf>
    <xf numFmtId="0" fontId="4" fillId="0" borderId="2" xfId="3" applyFont="1" applyBorder="1" applyAlignment="1">
      <alignment wrapText="1"/>
    </xf>
    <xf numFmtId="0" fontId="0" fillId="0" borderId="0" xfId="0" applyAlignment="1">
      <alignment horizontal="center"/>
    </xf>
    <xf numFmtId="0" fontId="7" fillId="3" borderId="0" xfId="0" applyFont="1" applyFill="1"/>
    <xf numFmtId="0" fontId="0" fillId="4" borderId="3" xfId="0" applyFill="1" applyBorder="1"/>
    <xf numFmtId="0" fontId="5" fillId="2" borderId="0" xfId="0" applyFont="1" applyFill="1"/>
    <xf numFmtId="0" fontId="8" fillId="4" borderId="3" xfId="0" applyFont="1" applyFill="1" applyBorder="1"/>
    <xf numFmtId="43" fontId="0" fillId="0" borderId="0" xfId="1" applyFont="1"/>
    <xf numFmtId="0" fontId="0" fillId="0" borderId="0" xfId="0" quotePrefix="1" applyAlignment="1">
      <alignment horizontal="center"/>
    </xf>
    <xf numFmtId="44" fontId="0" fillId="0" borderId="0" xfId="2" applyFont="1"/>
    <xf numFmtId="0" fontId="0" fillId="0" borderId="0" xfId="0" quotePrefix="1"/>
    <xf numFmtId="0" fontId="2" fillId="2" borderId="3" xfId="0" applyFont="1" applyFill="1" applyBorder="1"/>
    <xf numFmtId="44" fontId="0" fillId="4" borderId="3" xfId="2" applyFont="1" applyFill="1" applyBorder="1"/>
    <xf numFmtId="14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9" fillId="2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Normal_Customer Info" xfId="3" xr:uid="{5B29114F-3462-423F-BB2A-9DE6CDF9AB03}"/>
  </cellStyles>
  <dxfs count="23">
    <dxf>
      <fill>
        <patternFill>
          <bgColor theme="4" tint="-0.24994659260841701"/>
        </patternFill>
      </fill>
    </dxf>
    <dxf>
      <fill>
        <patternFill>
          <bgColor theme="6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youtube.com/channel/UCbCHkRl8AGEVmdF369Er7VQ" TargetMode="External"/><Relationship Id="rId1" Type="http://schemas.openxmlformats.org/officeDocument/2006/relationships/image" Target="../media/image1.png"/><Relationship Id="rId4" Type="http://schemas.openxmlformats.org/officeDocument/2006/relationships/hyperlink" Target="http://www.officenew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171450</xdr:rowOff>
    </xdr:from>
    <xdr:to>
      <xdr:col>2</xdr:col>
      <xdr:colOff>208547</xdr:colOff>
      <xdr:row>6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ABF6A3-CFBC-4365-A0A3-78C380A8F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71450"/>
          <a:ext cx="1275347" cy="1009650"/>
        </a:xfrm>
        <a:prstGeom prst="rect">
          <a:avLst/>
        </a:prstGeom>
      </xdr:spPr>
    </xdr:pic>
    <xdr:clientData/>
  </xdr:twoCellAnchor>
  <xdr:twoCellAnchor>
    <xdr:from>
      <xdr:col>2</xdr:col>
      <xdr:colOff>476250</xdr:colOff>
      <xdr:row>0</xdr:row>
      <xdr:rowOff>123825</xdr:rowOff>
    </xdr:from>
    <xdr:to>
      <xdr:col>12</xdr:col>
      <xdr:colOff>571500</xdr:colOff>
      <xdr:row>6</xdr:row>
      <xdr:rowOff>28575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4720260-9E50-4FF8-9485-1862CA4E3378}"/>
            </a:ext>
          </a:extLst>
        </xdr:cNvPr>
        <xdr:cNvSpPr/>
      </xdr:nvSpPr>
      <xdr:spPr>
        <a:xfrm>
          <a:off x="1695450" y="123825"/>
          <a:ext cx="6191250" cy="104775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Use this Workbook to practice some of the functions and commands found in the</a:t>
          </a:r>
          <a:r>
            <a:rPr lang="en-US" sz="2000" baseline="0">
              <a:solidFill>
                <a:sysClr val="windowText" lastClr="000000"/>
              </a:solidFill>
            </a:rPr>
            <a:t> Adv. Microsoft Excel 103 Course.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114300</xdr:colOff>
      <xdr:row>10</xdr:row>
      <xdr:rowOff>133349</xdr:rowOff>
    </xdr:from>
    <xdr:to>
      <xdr:col>3</xdr:col>
      <xdr:colOff>419101</xdr:colOff>
      <xdr:row>18</xdr:row>
      <xdr:rowOff>133350</xdr:rowOff>
    </xdr:to>
    <xdr:pic>
      <xdr:nvPicPr>
        <xdr:cNvPr id="4" name="Picture 3" descr="See the source imag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3AA332-4D14-42E7-8D67-BC6BE997D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2038349"/>
          <a:ext cx="1524001" cy="1524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47625</xdr:colOff>
      <xdr:row>12</xdr:row>
      <xdr:rowOff>104776</xdr:rowOff>
    </xdr:from>
    <xdr:to>
      <xdr:col>12</xdr:col>
      <xdr:colOff>247650</xdr:colOff>
      <xdr:row>16</xdr:row>
      <xdr:rowOff>142876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F44A0D-C669-48A6-ABCA-016E495571AF}"/>
            </a:ext>
          </a:extLst>
        </xdr:cNvPr>
        <xdr:cNvSpPr/>
      </xdr:nvSpPr>
      <xdr:spPr>
        <a:xfrm>
          <a:off x="2486025" y="2390776"/>
          <a:ext cx="5076825" cy="80010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For additional videos on Microsoft Excel visit the Office Newb YouTube</a:t>
          </a:r>
          <a:r>
            <a:rPr lang="en-US" sz="2000" baseline="0">
              <a:solidFill>
                <a:sysClr val="windowText" lastClr="000000"/>
              </a:solidFill>
            </a:rPr>
            <a:t> Channel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38100</xdr:colOff>
      <xdr:row>20</xdr:row>
      <xdr:rowOff>114301</xdr:rowOff>
    </xdr:from>
    <xdr:to>
      <xdr:col>12</xdr:col>
      <xdr:colOff>238125</xdr:colOff>
      <xdr:row>23</xdr:row>
      <xdr:rowOff>9525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4C84B70-276B-4A6F-8A43-5AA7B0EA9415}"/>
            </a:ext>
          </a:extLst>
        </xdr:cNvPr>
        <xdr:cNvSpPr/>
      </xdr:nvSpPr>
      <xdr:spPr>
        <a:xfrm>
          <a:off x="2476500" y="3924301"/>
          <a:ext cx="5076825" cy="466724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Visit OfficeNewb.com</a:t>
          </a:r>
          <a:r>
            <a:rPr lang="en-US" sz="2000" baseline="0">
              <a:solidFill>
                <a:sysClr val="windowText" lastClr="000000"/>
              </a:solidFill>
            </a:rPr>
            <a:t> for additional Content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161925</xdr:colOff>
      <xdr:row>19</xdr:row>
      <xdr:rowOff>28575</xdr:rowOff>
    </xdr:from>
    <xdr:to>
      <xdr:col>3</xdr:col>
      <xdr:colOff>218072</xdr:colOff>
      <xdr:row>24</xdr:row>
      <xdr:rowOff>85725</xdr:rowOff>
    </xdr:to>
    <xdr:pic>
      <xdr:nvPicPr>
        <xdr:cNvPr id="7" name="Pictur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7EBEC42-06DD-40CD-88E2-DF37B5F17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3648075"/>
          <a:ext cx="1275347" cy="1009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133350</xdr:rowOff>
    </xdr:from>
    <xdr:to>
      <xdr:col>7</xdr:col>
      <xdr:colOff>190500</xdr:colOff>
      <xdr:row>7</xdr:row>
      <xdr:rowOff>47625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9508134-4B8B-4D2F-BF4C-AAE93D5A4D54}"/>
            </a:ext>
          </a:extLst>
        </xdr:cNvPr>
        <xdr:cNvSpPr/>
      </xdr:nvSpPr>
      <xdr:spPr>
        <a:xfrm>
          <a:off x="609600" y="428625"/>
          <a:ext cx="4962525" cy="10572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 the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IF() </a:t>
          </a:r>
          <a:r>
            <a:rPr lang="en-US" sz="1100" b="0" baseline="0">
              <a:solidFill>
                <a:sysClr val="windowText" lastClr="000000"/>
              </a:solidFill>
            </a:rPr>
            <a:t>Function to complete the STATUS column below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CONDITIONS/RESULTS: 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PERCENTAGE = 1 then STATUS = "COMPLETED"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PERCENTAGE &gt;</a:t>
          </a:r>
          <a:r>
            <a:rPr lang="en-US" sz="1100" b="0" baseline="0">
              <a:solidFill>
                <a:sysClr val="windowText" lastClr="000000"/>
              </a:solidFill>
            </a:rPr>
            <a:t> 0 then STATUS = "IN PROGRESS"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PERCENTAGE &lt; 0 then STATUS = "NOT STARTED"</a:t>
          </a:r>
        </a:p>
      </xdr:txBody>
    </xdr:sp>
    <xdr:clientData/>
  </xdr:twoCellAnchor>
  <xdr:twoCellAnchor>
    <xdr:from>
      <xdr:col>1</xdr:col>
      <xdr:colOff>9525</xdr:colOff>
      <xdr:row>21</xdr:row>
      <xdr:rowOff>57150</xdr:rowOff>
    </xdr:from>
    <xdr:to>
      <xdr:col>8</xdr:col>
      <xdr:colOff>114300</xdr:colOff>
      <xdr:row>24</xdr:row>
      <xdr:rowOff>28575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C1A142C-85ED-46E1-B647-0D124852D042}"/>
            </a:ext>
          </a:extLst>
        </xdr:cNvPr>
        <xdr:cNvSpPr/>
      </xdr:nvSpPr>
      <xdr:spPr>
        <a:xfrm>
          <a:off x="619125" y="4210050"/>
          <a:ext cx="5600700" cy="54292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Use</a:t>
          </a:r>
          <a:r>
            <a:rPr lang="en-US" sz="1100" b="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CONDITIONAL FORMATTING </a:t>
          </a:r>
          <a:r>
            <a:rPr lang="en-US" sz="1100" b="0" baseline="0">
              <a:solidFill>
                <a:sysClr val="windowText" lastClr="000000"/>
              </a:solidFill>
            </a:rPr>
            <a:t>to format the </a:t>
          </a:r>
          <a:r>
            <a:rPr lang="en-US" sz="1100" b="1" baseline="0">
              <a:solidFill>
                <a:sysClr val="windowText" lastClr="000000"/>
              </a:solidFill>
            </a:rPr>
            <a:t>PERCENTAGE</a:t>
          </a:r>
          <a:r>
            <a:rPr lang="en-US" sz="1100" b="0" baseline="0">
              <a:solidFill>
                <a:sysClr val="windowText" lastClr="000000"/>
              </a:solidFill>
            </a:rPr>
            <a:t> column with </a:t>
          </a:r>
          <a:r>
            <a:rPr lang="en-US" sz="1100" b="1" baseline="0">
              <a:solidFill>
                <a:sysClr val="windowText" lastClr="000000"/>
              </a:solidFill>
            </a:rPr>
            <a:t>COLORED BARS</a:t>
          </a:r>
          <a:endParaRPr lang="en-US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2</xdr:row>
      <xdr:rowOff>28575</xdr:rowOff>
    </xdr:from>
    <xdr:to>
      <xdr:col>9</xdr:col>
      <xdr:colOff>381000</xdr:colOff>
      <xdr:row>5</xdr:row>
      <xdr:rowOff>171450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DA233BC-10FC-455D-A152-214D8A024188}"/>
            </a:ext>
          </a:extLst>
        </xdr:cNvPr>
        <xdr:cNvSpPr/>
      </xdr:nvSpPr>
      <xdr:spPr>
        <a:xfrm>
          <a:off x="647700" y="219075"/>
          <a:ext cx="8743950" cy="7143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 the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VLOOKUP() </a:t>
          </a:r>
          <a:r>
            <a:rPr lang="en-US" sz="1100" b="0" baseline="0">
              <a:solidFill>
                <a:sysClr val="windowText" lastClr="000000"/>
              </a:solidFill>
            </a:rPr>
            <a:t>function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to lookup information from the </a:t>
          </a:r>
          <a:r>
            <a:rPr lang="en-US" sz="1100" b="1" baseline="0">
              <a:solidFill>
                <a:sysClr val="windowText" lastClr="000000"/>
              </a:solidFill>
            </a:rPr>
            <a:t>CUSTOMER INFO</a:t>
          </a:r>
          <a:r>
            <a:rPr lang="en-US" sz="1100" baseline="0">
              <a:solidFill>
                <a:sysClr val="windowText" lastClr="000000"/>
              </a:solidFill>
            </a:rPr>
            <a:t> Worksheet. i.e. ADDRESS, CITY, REGION, etc...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-- Use cell </a:t>
          </a:r>
          <a:r>
            <a:rPr lang="en-US" sz="1100" b="1" baseline="0">
              <a:solidFill>
                <a:sysClr val="windowText" lastClr="000000"/>
              </a:solidFill>
            </a:rPr>
            <a:t>B9</a:t>
          </a:r>
          <a:r>
            <a:rPr lang="en-US" sz="1100" baseline="0">
              <a:solidFill>
                <a:sysClr val="windowText" lastClr="000000"/>
              </a:solidFill>
            </a:rPr>
            <a:t> as the </a:t>
          </a:r>
          <a:r>
            <a:rPr lang="en-US" sz="1100" b="1" baseline="0">
              <a:solidFill>
                <a:sysClr val="windowText" lastClr="000000"/>
              </a:solidFill>
            </a:rPr>
            <a:t>LOOKUP_VALUE </a:t>
          </a:r>
          <a:r>
            <a:rPr lang="en-US" sz="1100" baseline="0">
              <a:solidFill>
                <a:sysClr val="windowText" lastClr="000000"/>
              </a:solidFill>
            </a:rPr>
            <a:t>in the VLOOKUP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-- Cell </a:t>
          </a:r>
          <a:r>
            <a:rPr lang="en-US" sz="1100" b="1" baseline="0">
              <a:solidFill>
                <a:sysClr val="windowText" lastClr="000000"/>
              </a:solidFill>
            </a:rPr>
            <a:t>D9</a:t>
          </a:r>
          <a:r>
            <a:rPr lang="en-US" sz="1100" baseline="0">
              <a:solidFill>
                <a:sysClr val="windowText" lastClr="000000"/>
              </a:solidFill>
            </a:rPr>
            <a:t> has a completed </a:t>
          </a:r>
          <a:r>
            <a:rPr lang="en-US" sz="1100" b="1" baseline="0">
              <a:solidFill>
                <a:sysClr val="windowText" lastClr="000000"/>
              </a:solidFill>
            </a:rPr>
            <a:t>VLOOKUP</a:t>
          </a:r>
          <a:r>
            <a:rPr lang="en-US" sz="1100" baseline="0">
              <a:solidFill>
                <a:sysClr val="windowText" lastClr="000000"/>
              </a:solidFill>
            </a:rPr>
            <a:t> for reference</a:t>
          </a:r>
          <a:endParaRPr lang="en-US" sz="1100"/>
        </a:p>
      </xdr:txBody>
    </xdr:sp>
    <xdr:clientData/>
  </xdr:twoCellAnchor>
  <xdr:twoCellAnchor>
    <xdr:from>
      <xdr:col>1</xdr:col>
      <xdr:colOff>333375</xdr:colOff>
      <xdr:row>13</xdr:row>
      <xdr:rowOff>180975</xdr:rowOff>
    </xdr:from>
    <xdr:to>
      <xdr:col>9</xdr:col>
      <xdr:colOff>390525</xdr:colOff>
      <xdr:row>16</xdr:row>
      <xdr:rowOff>152400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AD5DE19-AE9C-413C-921F-D3BBDFC4B293}"/>
            </a:ext>
          </a:extLst>
        </xdr:cNvPr>
        <xdr:cNvSpPr/>
      </xdr:nvSpPr>
      <xdr:spPr>
        <a:xfrm>
          <a:off x="657225" y="2962275"/>
          <a:ext cx="8743950" cy="54292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Use</a:t>
          </a:r>
          <a:r>
            <a:rPr lang="en-US" sz="1100" b="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CONDITIONAL FORMATTING </a:t>
          </a:r>
          <a:r>
            <a:rPr lang="en-US" sz="1100" b="0" baseline="0">
              <a:solidFill>
                <a:sysClr val="windowText" lastClr="000000"/>
              </a:solidFill>
            </a:rPr>
            <a:t>to change the </a:t>
          </a:r>
          <a:r>
            <a:rPr lang="en-US" sz="1100" b="1" baseline="0">
              <a:solidFill>
                <a:sysClr val="windowText" lastClr="000000"/>
              </a:solidFill>
            </a:rPr>
            <a:t>color of cell J8 </a:t>
          </a:r>
          <a:r>
            <a:rPr lang="en-US" sz="1100" b="0" baseline="0">
              <a:solidFill>
                <a:sysClr val="windowText" lastClr="000000"/>
              </a:solidFill>
            </a:rPr>
            <a:t>when it matches a specific </a:t>
          </a:r>
          <a:r>
            <a:rPr lang="en-US" sz="1100" b="1" baseline="0">
              <a:solidFill>
                <a:sysClr val="windowText" lastClr="000000"/>
              </a:solidFill>
            </a:rPr>
            <a:t>Country</a:t>
          </a:r>
          <a:r>
            <a:rPr lang="en-US" sz="1100" b="0" baseline="0">
              <a:solidFill>
                <a:sysClr val="windowText" lastClr="000000"/>
              </a:solidFill>
            </a:rPr>
            <a:t> (i.e. "</a:t>
          </a:r>
          <a:r>
            <a:rPr lang="en-US" sz="1100" b="1" baseline="0">
              <a:solidFill>
                <a:sysClr val="windowText" lastClr="000000"/>
              </a:solidFill>
            </a:rPr>
            <a:t>Canada</a:t>
          </a:r>
          <a:r>
            <a:rPr lang="en-US" sz="1100" b="0" baseline="0">
              <a:solidFill>
                <a:sysClr val="windowText" lastClr="000000"/>
              </a:solidFill>
            </a:rPr>
            <a:t>")</a:t>
          </a:r>
          <a:endParaRPr lang="en-US" sz="1100" b="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180975</xdr:rowOff>
    </xdr:from>
    <xdr:to>
      <xdr:col>7</xdr:col>
      <xdr:colOff>28575</xdr:colOff>
      <xdr:row>7</xdr:row>
      <xdr:rowOff>95250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54B9E86-3E36-4BA9-AA0B-A3013106C989}"/>
            </a:ext>
          </a:extLst>
        </xdr:cNvPr>
        <xdr:cNvSpPr/>
      </xdr:nvSpPr>
      <xdr:spPr>
        <a:xfrm>
          <a:off x="352425" y="476250"/>
          <a:ext cx="4591050" cy="10572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 the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LEFT() RIGHT() &amp; MID() </a:t>
          </a:r>
          <a:r>
            <a:rPr lang="en-US" sz="1100" b="0" baseline="0">
              <a:solidFill>
                <a:sysClr val="windowText" lastClr="000000"/>
              </a:solidFill>
            </a:rPr>
            <a:t>functions to complete the table below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CLASS = First two characters of TRAINING CODE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BRANCH = Fourth and Fifth characters of TRAINING CODE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YEAR = Seventh - Tenth characters of TRAINING CODE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LEVEL CODE = Last Two characters of TRAINING CODE</a:t>
          </a:r>
          <a:endParaRPr lang="en-US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0</xdr:colOff>
      <xdr:row>18</xdr:row>
      <xdr:rowOff>19050</xdr:rowOff>
    </xdr:from>
    <xdr:to>
      <xdr:col>9</xdr:col>
      <xdr:colOff>95250</xdr:colOff>
      <xdr:row>23</xdr:row>
      <xdr:rowOff>19050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FDA5E0D-FB18-4728-BA46-15826071793D}"/>
            </a:ext>
          </a:extLst>
        </xdr:cNvPr>
        <xdr:cNvSpPr/>
      </xdr:nvSpPr>
      <xdr:spPr>
        <a:xfrm>
          <a:off x="333375" y="3552825"/>
          <a:ext cx="6524625" cy="95250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Using the VLOOKUP Function lookup the proper</a:t>
          </a:r>
          <a:r>
            <a:rPr lang="en-US" sz="1100" b="0" baseline="0">
              <a:solidFill>
                <a:sysClr val="windowText" lastClr="000000"/>
              </a:solidFill>
            </a:rPr>
            <a:t> LEVEL and CLASS names based on the extracted values above.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Place these values in the </a:t>
          </a:r>
          <a:r>
            <a:rPr lang="en-US" sz="1100" b="1" baseline="0">
              <a:solidFill>
                <a:sysClr val="windowText" lastClr="000000"/>
              </a:solidFill>
            </a:rPr>
            <a:t>LEVEL</a:t>
          </a:r>
          <a:r>
            <a:rPr lang="en-US" sz="1100" b="0" baseline="0">
              <a:solidFill>
                <a:sysClr val="windowText" lastClr="000000"/>
              </a:solidFill>
            </a:rPr>
            <a:t> and </a:t>
          </a:r>
          <a:r>
            <a:rPr lang="en-US" sz="1100" b="1" baseline="0">
              <a:solidFill>
                <a:sysClr val="windowText" lastClr="000000"/>
              </a:solidFill>
            </a:rPr>
            <a:t>CLASS NAME </a:t>
          </a:r>
          <a:r>
            <a:rPr lang="en-US" sz="1100" b="0" baseline="0">
              <a:solidFill>
                <a:sysClr val="windowText" lastClr="000000"/>
              </a:solidFill>
            </a:rPr>
            <a:t>columns.</a:t>
          </a:r>
        </a:p>
        <a:p>
          <a:pPr algn="l"/>
          <a:r>
            <a:rPr lang="en-US" sz="1100" b="1" baseline="0">
              <a:solidFill>
                <a:sysClr val="windowText" lastClr="000000"/>
              </a:solidFill>
            </a:rPr>
            <a:t>TIP</a:t>
          </a:r>
          <a:r>
            <a:rPr lang="en-US" sz="1100" b="0" baseline="0">
              <a:solidFill>
                <a:sysClr val="windowText" lastClr="000000"/>
              </a:solidFill>
            </a:rPr>
            <a:t>:  Nest the LEFT(), RIGHT(), or MID() function within the VLOOKUP() or INDEX()/MATCH()</a:t>
          </a:r>
          <a:endParaRPr lang="en-US" sz="11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</xdr:rowOff>
    </xdr:from>
    <xdr:to>
      <xdr:col>7</xdr:col>
      <xdr:colOff>342900</xdr:colOff>
      <xdr:row>4</xdr:row>
      <xdr:rowOff>133351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BB2409F-F139-41B7-BAEB-238D5AD59C12}"/>
            </a:ext>
          </a:extLst>
        </xdr:cNvPr>
        <xdr:cNvSpPr/>
      </xdr:nvSpPr>
      <xdr:spPr>
        <a:xfrm>
          <a:off x="400050" y="476251"/>
          <a:ext cx="7219950" cy="49530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 the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SUMIF()</a:t>
          </a:r>
          <a:r>
            <a:rPr lang="en-US" sz="1100" b="0" baseline="0">
              <a:solidFill>
                <a:sysClr val="windowText" lastClr="000000"/>
              </a:solidFill>
            </a:rPr>
            <a:t> function to complete the table on the right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Find the </a:t>
          </a:r>
          <a:r>
            <a:rPr lang="en-US" sz="1100" b="1">
              <a:solidFill>
                <a:sysClr val="windowText" lastClr="000000"/>
              </a:solidFill>
            </a:rPr>
            <a:t>TOTAL GROSS, cell I8, 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="0" baseline="0">
              <a:solidFill>
                <a:sysClr val="windowText" lastClr="000000"/>
              </a:solidFill>
            </a:rPr>
            <a:t>by </a:t>
          </a:r>
          <a:r>
            <a:rPr lang="en-US" sz="1100" b="1" baseline="0">
              <a:solidFill>
                <a:sysClr val="windowText" lastClr="000000"/>
              </a:solidFill>
            </a:rPr>
            <a:t>RATING</a:t>
          </a:r>
          <a:r>
            <a:rPr lang="en-US" sz="1100" b="0" baseline="0">
              <a:solidFill>
                <a:sysClr val="windowText" lastClr="000000"/>
              </a:solidFill>
            </a:rPr>
            <a:t> or </a:t>
          </a:r>
          <a:r>
            <a:rPr lang="en-US" sz="1100" b="1" baseline="0">
              <a:solidFill>
                <a:sysClr val="windowText" lastClr="000000"/>
              </a:solidFill>
            </a:rPr>
            <a:t>YEAR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19050</xdr:colOff>
      <xdr:row>9</xdr:row>
      <xdr:rowOff>47624</xdr:rowOff>
    </xdr:from>
    <xdr:to>
      <xdr:col>11</xdr:col>
      <xdr:colOff>0</xdr:colOff>
      <xdr:row>16</xdr:row>
      <xdr:rowOff>152400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802A74F-C013-4D8B-B97E-CC7E0FC20787}"/>
            </a:ext>
          </a:extLst>
        </xdr:cNvPr>
        <xdr:cNvSpPr/>
      </xdr:nvSpPr>
      <xdr:spPr>
        <a:xfrm>
          <a:off x="6096000" y="1866899"/>
          <a:ext cx="3952875" cy="1438276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Add a Drop Down menu for RATING using the Data Validation command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Use the COUNTIF() function to include the number of MOVIES for a specific RATING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Use the SUMIFS() function find TOTAL GROSS based on RATING and YEAR</a:t>
          </a:r>
          <a:endParaRPr lang="en-US" sz="11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1</xdr:row>
      <xdr:rowOff>156210</xdr:rowOff>
    </xdr:from>
    <xdr:to>
      <xdr:col>7</xdr:col>
      <xdr:colOff>411480</xdr:colOff>
      <xdr:row>7</xdr:row>
      <xdr:rowOff>60960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B6371B3-2C28-42D9-9385-7435C82DF59C}"/>
            </a:ext>
          </a:extLst>
        </xdr:cNvPr>
        <xdr:cNvSpPr/>
      </xdr:nvSpPr>
      <xdr:spPr>
        <a:xfrm>
          <a:off x="525780" y="451485"/>
          <a:ext cx="6781800" cy="104775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Create a </a:t>
          </a:r>
          <a:r>
            <a:rPr lang="en-US" sz="1100" b="1">
              <a:solidFill>
                <a:sysClr val="windowText" lastClr="000000"/>
              </a:solidFill>
            </a:rPr>
            <a:t>PivotTable</a:t>
          </a:r>
          <a:r>
            <a:rPr lang="en-US" sz="1100">
              <a:solidFill>
                <a:sysClr val="windowText" lastClr="000000"/>
              </a:solidFill>
            </a:rPr>
            <a:t> based on the </a:t>
          </a:r>
          <a:r>
            <a:rPr lang="en-US" sz="1100" b="1">
              <a:solidFill>
                <a:sysClr val="windowText" lastClr="000000"/>
              </a:solidFill>
            </a:rPr>
            <a:t>Orders Table </a:t>
          </a:r>
          <a:r>
            <a:rPr lang="en-US" sz="1100">
              <a:solidFill>
                <a:sysClr val="windowText" lastClr="000000"/>
              </a:solidFill>
            </a:rPr>
            <a:t>below. Place the PivotTable on a new Worksheet,</a:t>
          </a:r>
          <a:r>
            <a:rPr lang="en-US" sz="1100" baseline="0">
              <a:solidFill>
                <a:sysClr val="windowText" lastClr="000000"/>
              </a:solidFill>
            </a:rPr>
            <a:t> name it "</a:t>
          </a:r>
          <a:r>
            <a:rPr lang="en-US" sz="1100" b="1" i="1" baseline="0">
              <a:solidFill>
                <a:sysClr val="windowText" lastClr="000000"/>
              </a:solidFill>
            </a:rPr>
            <a:t>Shipping Cost</a:t>
          </a:r>
          <a:r>
            <a:rPr lang="en-US" sz="1100" baseline="0">
              <a:solidFill>
                <a:sysClr val="windowText" lastClr="000000"/>
              </a:solidFill>
            </a:rPr>
            <a:t>"</a:t>
          </a:r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</a:t>
          </a:r>
          <a:r>
            <a:rPr lang="en-US" sz="1100" b="0" baseline="0">
              <a:solidFill>
                <a:sysClr val="windowText" lastClr="000000"/>
              </a:solidFill>
            </a:rPr>
            <a:t> Summarize the data to display </a:t>
          </a:r>
          <a:r>
            <a:rPr lang="en-US" sz="1100" b="1" baseline="0">
              <a:solidFill>
                <a:sysClr val="windowText" lastClr="000000"/>
              </a:solidFill>
            </a:rPr>
            <a:t>TOTAL FREIGHT (SUM) </a:t>
          </a:r>
          <a:r>
            <a:rPr lang="en-US" sz="1100" b="0" baseline="0">
              <a:solidFill>
                <a:sysClr val="windowText" lastClr="000000"/>
              </a:solidFill>
            </a:rPr>
            <a:t>grouped by the </a:t>
          </a:r>
          <a:r>
            <a:rPr lang="en-US" sz="1100" b="1" baseline="0">
              <a:solidFill>
                <a:sysClr val="windowText" lastClr="000000"/>
              </a:solidFill>
            </a:rPr>
            <a:t>SHIP VIA </a:t>
          </a:r>
          <a:r>
            <a:rPr lang="en-US" sz="1100" b="0" baseline="0">
              <a:solidFill>
                <a:sysClr val="windowText" lastClr="000000"/>
              </a:solidFill>
            </a:rPr>
            <a:t>field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Insert the </a:t>
          </a:r>
          <a:r>
            <a:rPr lang="en-US" sz="1100" b="1" baseline="0">
              <a:solidFill>
                <a:sysClr val="windowText" lastClr="000000"/>
              </a:solidFill>
            </a:rPr>
            <a:t>FREIGHT</a:t>
          </a:r>
          <a:r>
            <a:rPr lang="en-US" sz="1100" b="0" baseline="0">
              <a:solidFill>
                <a:sysClr val="windowText" lastClr="000000"/>
              </a:solidFill>
            </a:rPr>
            <a:t> field a 2nd time and modify the Calulation to display the </a:t>
          </a:r>
          <a:r>
            <a:rPr lang="en-US" sz="1100" b="1" baseline="0">
              <a:solidFill>
                <a:sysClr val="windowText" lastClr="000000"/>
              </a:solidFill>
            </a:rPr>
            <a:t>AVERAGE FRIEGHT </a:t>
          </a:r>
          <a:r>
            <a:rPr lang="en-US" sz="1100" b="0" baseline="0">
              <a:solidFill>
                <a:sysClr val="windowText" lastClr="000000"/>
              </a:solidFill>
            </a:rPr>
            <a:t>for each SHIP VIA value.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Format to the two fields in the </a:t>
          </a:r>
          <a:r>
            <a:rPr lang="en-US" sz="1100" b="1" baseline="0">
              <a:solidFill>
                <a:sysClr val="windowText" lastClr="000000"/>
              </a:solidFill>
            </a:rPr>
            <a:t>VALUE</a:t>
          </a:r>
          <a:r>
            <a:rPr lang="en-US" sz="1100" b="0" baseline="0">
              <a:solidFill>
                <a:sysClr val="windowText" lastClr="000000"/>
              </a:solidFill>
            </a:rPr>
            <a:t> section as </a:t>
          </a:r>
          <a:r>
            <a:rPr lang="en-US" sz="1100" b="1" baseline="0">
              <a:solidFill>
                <a:sysClr val="windowText" lastClr="000000"/>
              </a:solidFill>
            </a:rPr>
            <a:t>CURRENCY</a:t>
          </a:r>
          <a:r>
            <a:rPr lang="en-US" sz="1100" b="0" baseline="0">
              <a:solidFill>
                <a:sysClr val="windowText" lastClr="000000"/>
              </a:solidFill>
            </a:rPr>
            <a:t> format</a:t>
          </a:r>
          <a:endParaRPr lang="en-US" sz="1100" b="0">
            <a:solidFill>
              <a:sysClr val="windowText" lastClr="0000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las" refreshedDate="45942.745420717591" createdVersion="8" refreshedVersion="8" minRefreshableVersion="3" recordCount="830" xr:uid="{FC87F31A-C8E5-4835-BAA4-307B4EE76A1C}">
  <cacheSource type="worksheet">
    <worksheetSource name="PT_ORDER_DATA"/>
  </cacheSource>
  <cacheFields count="8">
    <cacheField name="Order ID" numFmtId="0">
      <sharedItems containsSemiMixedTypes="0" containsString="0" containsNumber="1" containsInteger="1" minValue="10248" maxValue="11077"/>
    </cacheField>
    <cacheField name="Customer" numFmtId="0">
      <sharedItems/>
    </cacheField>
    <cacheField name="Employee" numFmtId="0">
      <sharedItems/>
    </cacheField>
    <cacheField name="Order Date" numFmtId="14">
      <sharedItems containsSemiMixedTypes="0" containsNonDate="0" containsDate="1" containsString="0" minDate="1996-07-04T00:00:00" maxDate="1998-05-07T00:00:00"/>
    </cacheField>
    <cacheField name="Shipped Date" numFmtId="14">
      <sharedItems containsNonDate="0" containsDate="1" containsString="0" containsBlank="1" minDate="1996-07-10T00:00:00" maxDate="1998-05-07T00:00:00"/>
    </cacheField>
    <cacheField name="Ship Via" numFmtId="0">
      <sharedItems count="3">
        <s v="Federal Shipping"/>
        <s v="Speedy Express"/>
        <s v="United Package"/>
      </sharedItems>
    </cacheField>
    <cacheField name="Freight" numFmtId="44">
      <sharedItems containsSemiMixedTypes="0" containsString="0" containsNumber="1" minValue="2.1999999999999999E-2" maxValue="1108.404"/>
    </cacheField>
    <cacheField name="Ship 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0">
  <r>
    <n v="10248"/>
    <s v="Wilman Kala"/>
    <s v="Buchanan, Steven"/>
    <d v="1996-07-04T00:00:00"/>
    <d v="1996-07-16T00:00:00"/>
    <x v="0"/>
    <n v="35.618000000000002"/>
    <s v="France"/>
  </r>
  <r>
    <n v="10249"/>
    <s v="Tradição Hipermercados"/>
    <s v="Suyama, Michael"/>
    <d v="1996-07-05T00:00:00"/>
    <d v="1996-07-10T00:00:00"/>
    <x v="1"/>
    <n v="12.771000000000001"/>
    <s v="Germany"/>
  </r>
  <r>
    <n v="10250"/>
    <s v="Hanari Carnes"/>
    <s v="Peacock, Margaret"/>
    <d v="1996-07-08T00:00:00"/>
    <d v="1996-07-12T00:00:00"/>
    <x v="2"/>
    <n v="72.412999999999997"/>
    <s v="Brazil"/>
  </r>
  <r>
    <n v="10251"/>
    <s v="Victuailles en stock"/>
    <s v="Leverling, Janet"/>
    <d v="1996-07-08T00:00:00"/>
    <d v="1996-07-15T00:00:00"/>
    <x v="1"/>
    <n v="45.473999999999997"/>
    <s v="France"/>
  </r>
  <r>
    <n v="10252"/>
    <s v="Suprêmes délices"/>
    <s v="Peacock, Margaret"/>
    <d v="1996-07-09T00:00:00"/>
    <d v="1996-07-11T00:00:00"/>
    <x v="2"/>
    <n v="56.43"/>
    <s v="Belgium"/>
  </r>
  <r>
    <n v="10253"/>
    <s v="Hanari Carnes"/>
    <s v="Leverling, Janet"/>
    <d v="1996-07-10T00:00:00"/>
    <d v="1996-07-16T00:00:00"/>
    <x v="2"/>
    <n v="63.987000000000002"/>
    <s v="Brazil"/>
  </r>
  <r>
    <n v="10254"/>
    <s v="Chop-suey Chinese"/>
    <s v="Buchanan, Steven"/>
    <d v="1996-07-11T00:00:00"/>
    <d v="1996-07-23T00:00:00"/>
    <x v="1"/>
    <n v="25.277999999999999"/>
    <s v="Switzerland"/>
  </r>
  <r>
    <n v="10255"/>
    <s v="Richter Supermarkt"/>
    <s v="Dodsworth, Anne"/>
    <d v="1996-07-12T00:00:00"/>
    <d v="1996-07-15T00:00:00"/>
    <x v="0"/>
    <n v="163.16300000000001"/>
    <s v="Switzerland"/>
  </r>
  <r>
    <n v="10256"/>
    <s v="Wellington Importadora"/>
    <s v="Leverling, Janet"/>
    <d v="1996-07-15T00:00:00"/>
    <d v="1996-07-17T00:00:00"/>
    <x v="2"/>
    <n v="15.367000000000001"/>
    <s v="Brazil"/>
  </r>
  <r>
    <n v="10257"/>
    <s v="HILARIÓN-Abastos"/>
    <s v="Peacock, Margaret"/>
    <d v="1996-07-16T00:00:00"/>
    <d v="1996-07-22T00:00:00"/>
    <x v="0"/>
    <n v="90.100999999999999"/>
    <s v="Venezuela"/>
  </r>
  <r>
    <n v="10258"/>
    <s v="Ernst Handel"/>
    <s v="Davolio, Nancy"/>
    <d v="1996-07-17T00:00:00"/>
    <d v="1996-07-23T00:00:00"/>
    <x v="1"/>
    <n v="154.56100000000001"/>
    <s v="Austria"/>
  </r>
  <r>
    <n v="10259"/>
    <s v="Centro comercial Moctezuma"/>
    <s v="Peacock, Margaret"/>
    <d v="1996-07-18T00:00:00"/>
    <d v="1996-07-25T00:00:00"/>
    <x v="0"/>
    <n v="3.5750000000000002"/>
    <s v="Mexico"/>
  </r>
  <r>
    <n v="10260"/>
    <s v="Old World Delicatessen"/>
    <s v="Peacock, Margaret"/>
    <d v="1996-07-19T00:00:00"/>
    <d v="1996-07-29T00:00:00"/>
    <x v="1"/>
    <n v="60.598999999999997"/>
    <s v="Germany"/>
  </r>
  <r>
    <n v="10261"/>
    <s v="Que Delícia"/>
    <s v="Peacock, Margaret"/>
    <d v="1996-07-19T00:00:00"/>
    <d v="1996-07-30T00:00:00"/>
    <x v="2"/>
    <n v="3.355"/>
    <s v="Brazil"/>
  </r>
  <r>
    <n v="10262"/>
    <s v="Rattlesnake Canyon Grocery"/>
    <s v="Callahan, Laura"/>
    <d v="1996-07-22T00:00:00"/>
    <d v="1996-07-25T00:00:00"/>
    <x v="0"/>
    <n v="53.119"/>
    <s v="USA"/>
  </r>
  <r>
    <n v="10263"/>
    <s v="Ernst Handel"/>
    <s v="Dodsworth, Anne"/>
    <d v="1996-07-23T00:00:00"/>
    <d v="1996-07-31T00:00:00"/>
    <x v="0"/>
    <n v="160.666"/>
    <s v="Austria"/>
  </r>
  <r>
    <n v="10264"/>
    <s v="Folk och fä HB"/>
    <s v="Suyama, Michael"/>
    <d v="1996-07-24T00:00:00"/>
    <d v="1996-08-23T00:00:00"/>
    <x v="0"/>
    <n v="4.0369999999999999"/>
    <s v="Sweden"/>
  </r>
  <r>
    <n v="10265"/>
    <s v="Blondel père et fils"/>
    <s v="Fuller, Andrew"/>
    <d v="1996-07-25T00:00:00"/>
    <d v="1996-08-12T00:00:00"/>
    <x v="1"/>
    <n v="60.808"/>
    <s v="France"/>
  </r>
  <r>
    <n v="10266"/>
    <s v="Wartian Herkku"/>
    <s v="Leverling, Janet"/>
    <d v="1996-07-26T00:00:00"/>
    <d v="1996-07-31T00:00:00"/>
    <x v="0"/>
    <n v="28.303000000000001"/>
    <s v="Finland"/>
  </r>
  <r>
    <n v="10267"/>
    <s v="Frankenversand"/>
    <s v="Peacock, Margaret"/>
    <d v="1996-07-29T00:00:00"/>
    <d v="1996-08-06T00:00:00"/>
    <x v="1"/>
    <n v="229.43799999999999"/>
    <s v="Germany"/>
  </r>
  <r>
    <n v="10268"/>
    <s v="GROSELLA-Restaurante"/>
    <s v="Callahan, Laura"/>
    <d v="1996-07-30T00:00:00"/>
    <d v="1996-08-02T00:00:00"/>
    <x v="0"/>
    <n v="72.918999999999997"/>
    <s v="Venezuela"/>
  </r>
  <r>
    <n v="10269"/>
    <s v="White Clover Markets"/>
    <s v="Buchanan, Steven"/>
    <d v="1996-07-31T00:00:00"/>
    <d v="1996-08-09T00:00:00"/>
    <x v="1"/>
    <n v="5.016"/>
    <s v="USA"/>
  </r>
  <r>
    <n v="10270"/>
    <s v="Wartian Herkku"/>
    <s v="Davolio, Nancy"/>
    <d v="1996-08-01T00:00:00"/>
    <d v="1996-08-02T00:00:00"/>
    <x v="1"/>
    <n v="150.19399999999999"/>
    <s v="Finland"/>
  </r>
  <r>
    <n v="10271"/>
    <s v="Split Rail Beer &amp; Ale"/>
    <s v="Suyama, Michael"/>
    <d v="1996-08-01T00:00:00"/>
    <d v="1996-08-30T00:00:00"/>
    <x v="2"/>
    <n v="4.9939999999999998"/>
    <s v="USA"/>
  </r>
  <r>
    <n v="10272"/>
    <s v="Rattlesnake Canyon Grocery"/>
    <s v="Suyama, Michael"/>
    <d v="1996-08-02T00:00:00"/>
    <d v="1996-08-06T00:00:00"/>
    <x v="2"/>
    <n v="107.833"/>
    <s v="USA"/>
  </r>
  <r>
    <n v="10273"/>
    <s v="QUICK-Stop"/>
    <s v="Leverling, Janet"/>
    <d v="1996-08-05T00:00:00"/>
    <d v="1996-08-12T00:00:00"/>
    <x v="0"/>
    <n v="83.677000000000007"/>
    <s v="Germany"/>
  </r>
  <r>
    <n v="10274"/>
    <s v="Vins et alcools Chevalier"/>
    <s v="Suyama, Michael"/>
    <d v="1996-08-06T00:00:00"/>
    <d v="1996-08-16T00:00:00"/>
    <x v="1"/>
    <n v="6.6109999999999998"/>
    <s v="France"/>
  </r>
  <r>
    <n v="10275"/>
    <s v="Magazzini Alimentari Riuniti"/>
    <s v="Davolio, Nancy"/>
    <d v="1996-08-07T00:00:00"/>
    <d v="1996-08-09T00:00:00"/>
    <x v="1"/>
    <n v="29.623000000000001"/>
    <s v="Italy"/>
  </r>
  <r>
    <n v="10276"/>
    <s v="Tortuga Restaurante"/>
    <s v="Callahan, Laura"/>
    <d v="1996-08-08T00:00:00"/>
    <d v="1996-08-14T00:00:00"/>
    <x v="0"/>
    <n v="15.224"/>
    <s v="Mexico"/>
  </r>
  <r>
    <n v="10277"/>
    <s v="Morgenstern Gesundkost"/>
    <s v="Fuller, Andrew"/>
    <d v="1996-08-09T00:00:00"/>
    <d v="1996-08-13T00:00:00"/>
    <x v="0"/>
    <n v="138.34700000000001"/>
    <s v="Germany"/>
  </r>
  <r>
    <n v="10278"/>
    <s v="Berglunds snabbköp"/>
    <s v="Callahan, Laura"/>
    <d v="1996-08-12T00:00:00"/>
    <d v="1996-08-16T00:00:00"/>
    <x v="2"/>
    <n v="101.959"/>
    <s v="Sweden"/>
  </r>
  <r>
    <n v="10279"/>
    <s v="Lehmanns Marktstand"/>
    <s v="Callahan, Laura"/>
    <d v="1996-08-13T00:00:00"/>
    <d v="1996-08-16T00:00:00"/>
    <x v="2"/>
    <n v="28.413"/>
    <s v="Germany"/>
  </r>
  <r>
    <n v="10280"/>
    <s v="Berglunds snabbköp"/>
    <s v="Fuller, Andrew"/>
    <d v="1996-08-14T00:00:00"/>
    <d v="1996-09-12T00:00:00"/>
    <x v="1"/>
    <n v="9.8780000000000001"/>
    <s v="Sweden"/>
  </r>
  <r>
    <n v="10281"/>
    <s v="Romero y tomillo"/>
    <s v="Peacock, Margaret"/>
    <d v="1996-08-14T00:00:00"/>
    <d v="1996-08-21T00:00:00"/>
    <x v="1"/>
    <n v="3.234"/>
    <s v="Spain"/>
  </r>
  <r>
    <n v="10282"/>
    <s v="Romero y tomillo"/>
    <s v="Peacock, Margaret"/>
    <d v="1996-08-15T00:00:00"/>
    <d v="1996-08-21T00:00:00"/>
    <x v="1"/>
    <n v="13.959"/>
    <s v="Spain"/>
  </r>
  <r>
    <n v="10283"/>
    <s v="LILA-Supermercado"/>
    <s v="Leverling, Janet"/>
    <d v="1996-08-16T00:00:00"/>
    <d v="1996-08-23T00:00:00"/>
    <x v="0"/>
    <n v="93.290999999999997"/>
    <s v="Venezuela"/>
  </r>
  <r>
    <n v="10284"/>
    <s v="Lehmanns Marktstand"/>
    <s v="Peacock, Margaret"/>
    <d v="1996-08-19T00:00:00"/>
    <d v="1996-08-27T00:00:00"/>
    <x v="1"/>
    <n v="84.215999999999994"/>
    <s v="Germany"/>
  </r>
  <r>
    <n v="10285"/>
    <s v="QUICK-Stop"/>
    <s v="Davolio, Nancy"/>
    <d v="1996-08-20T00:00:00"/>
    <d v="1996-08-26T00:00:00"/>
    <x v="2"/>
    <n v="84.513000000000005"/>
    <s v="Germany"/>
  </r>
  <r>
    <n v="10286"/>
    <s v="QUICK-Stop"/>
    <s v="Callahan, Laura"/>
    <d v="1996-08-21T00:00:00"/>
    <d v="1996-08-30T00:00:00"/>
    <x v="0"/>
    <n v="252.16399999999999"/>
    <s v="Germany"/>
  </r>
  <r>
    <n v="10287"/>
    <s v="Ricardo Adocicados"/>
    <s v="Callahan, Laura"/>
    <d v="1996-08-22T00:00:00"/>
    <d v="1996-08-28T00:00:00"/>
    <x v="0"/>
    <n v="14.036"/>
    <s v="Brazil"/>
  </r>
  <r>
    <n v="10288"/>
    <s v="Reggiani Caseifici"/>
    <s v="Peacock, Margaret"/>
    <d v="1996-08-23T00:00:00"/>
    <d v="1996-09-03T00:00:00"/>
    <x v="1"/>
    <n v="8.1950000000000003"/>
    <s v="Italy"/>
  </r>
  <r>
    <n v="10289"/>
    <s v="B's Beverages"/>
    <s v="King, Robert"/>
    <d v="1996-08-26T00:00:00"/>
    <d v="1996-08-28T00:00:00"/>
    <x v="0"/>
    <n v="25.047000000000001"/>
    <s v="UK"/>
  </r>
  <r>
    <n v="10290"/>
    <s v="Comércio Mineiro"/>
    <s v="Callahan, Laura"/>
    <d v="1996-08-27T00:00:00"/>
    <d v="1996-09-03T00:00:00"/>
    <x v="1"/>
    <n v="87.67"/>
    <s v="Brazil"/>
  </r>
  <r>
    <n v="10291"/>
    <s v="Que Delícia"/>
    <s v="Suyama, Michael"/>
    <d v="1996-08-27T00:00:00"/>
    <d v="1996-09-04T00:00:00"/>
    <x v="2"/>
    <n v="7.04"/>
    <s v="Brazil"/>
  </r>
  <r>
    <n v="10292"/>
    <s v="Tradição Hipermercados"/>
    <s v="Davolio, Nancy"/>
    <d v="1996-08-28T00:00:00"/>
    <d v="1996-09-02T00:00:00"/>
    <x v="2"/>
    <n v="1.4850000000000001"/>
    <s v="Brazil"/>
  </r>
  <r>
    <n v="10293"/>
    <s v="Tortuga Restaurante"/>
    <s v="Davolio, Nancy"/>
    <d v="1996-08-29T00:00:00"/>
    <d v="1996-09-11T00:00:00"/>
    <x v="0"/>
    <n v="23.297999999999998"/>
    <s v="Mexico"/>
  </r>
  <r>
    <n v="10294"/>
    <s v="Rattlesnake Canyon Grocery"/>
    <s v="Peacock, Margaret"/>
    <d v="1996-08-30T00:00:00"/>
    <d v="1996-09-05T00:00:00"/>
    <x v="2"/>
    <n v="161.98599999999999"/>
    <s v="USA"/>
  </r>
  <r>
    <n v="10295"/>
    <s v="Vins et alcools Chevalier"/>
    <s v="Fuller, Andrew"/>
    <d v="1996-09-02T00:00:00"/>
    <d v="1996-09-10T00:00:00"/>
    <x v="2"/>
    <n v="1.2649999999999999"/>
    <s v="France"/>
  </r>
  <r>
    <n v="10296"/>
    <s v="LILA-Supermercado"/>
    <s v="Suyama, Michael"/>
    <d v="1996-09-03T00:00:00"/>
    <d v="1996-09-11T00:00:00"/>
    <x v="1"/>
    <n v="0.13200000000000001"/>
    <s v="Venezuela"/>
  </r>
  <r>
    <n v="10297"/>
    <s v="Blondel père et fils"/>
    <s v="Buchanan, Steven"/>
    <d v="1996-09-04T00:00:00"/>
    <d v="1996-09-10T00:00:00"/>
    <x v="2"/>
    <n v="6.3140000000000001"/>
    <s v="France"/>
  </r>
  <r>
    <n v="10298"/>
    <s v="Hungry Owl All-Night Grocers"/>
    <s v="Suyama, Michael"/>
    <d v="1996-09-05T00:00:00"/>
    <d v="1996-09-11T00:00:00"/>
    <x v="2"/>
    <n v="185.042"/>
    <s v="Ireland"/>
  </r>
  <r>
    <n v="10299"/>
    <s v="Ricardo Adocicados"/>
    <s v="Peacock, Margaret"/>
    <d v="1996-09-06T00:00:00"/>
    <d v="1996-09-13T00:00:00"/>
    <x v="2"/>
    <n v="32.735999999999997"/>
    <s v="Brazil"/>
  </r>
  <r>
    <n v="10300"/>
    <s v="Magazzini Alimentari Riuniti"/>
    <s v="Fuller, Andrew"/>
    <d v="1996-09-09T00:00:00"/>
    <d v="1996-09-18T00:00:00"/>
    <x v="2"/>
    <n v="19.448"/>
    <s v="Italy"/>
  </r>
  <r>
    <n v="10301"/>
    <s v="Die Wandernde Kuh"/>
    <s v="Callahan, Laura"/>
    <d v="1996-09-09T00:00:00"/>
    <d v="1996-09-17T00:00:00"/>
    <x v="2"/>
    <n v="49.588000000000001"/>
    <s v="Germany"/>
  </r>
  <r>
    <n v="10302"/>
    <s v="Suprêmes délices"/>
    <s v="Peacock, Margaret"/>
    <d v="1996-09-10T00:00:00"/>
    <d v="1996-10-09T00:00:00"/>
    <x v="2"/>
    <n v="6.8970000000000002"/>
    <s v="Belgium"/>
  </r>
  <r>
    <n v="10303"/>
    <s v="Godos Cocina Típica"/>
    <s v="King, Robert"/>
    <d v="1996-09-11T00:00:00"/>
    <d v="1996-09-18T00:00:00"/>
    <x v="2"/>
    <n v="118.613"/>
    <s v="Spain"/>
  </r>
  <r>
    <n v="10304"/>
    <s v="Tortuga Restaurante"/>
    <s v="Davolio, Nancy"/>
    <d v="1996-09-12T00:00:00"/>
    <d v="1996-09-17T00:00:00"/>
    <x v="2"/>
    <n v="70.168999999999997"/>
    <s v="Mexico"/>
  </r>
  <r>
    <n v="10305"/>
    <s v="Old World Delicatessen"/>
    <s v="Callahan, Laura"/>
    <d v="1996-09-13T00:00:00"/>
    <d v="1996-10-09T00:00:00"/>
    <x v="0"/>
    <n v="283.38200000000001"/>
    <s v="USA"/>
  </r>
  <r>
    <n v="10306"/>
    <s v="Romero y tomillo"/>
    <s v="Davolio, Nancy"/>
    <d v="1996-09-16T00:00:00"/>
    <d v="1996-09-23T00:00:00"/>
    <x v="0"/>
    <n v="8.3160000000000007"/>
    <s v="Spain"/>
  </r>
  <r>
    <n v="10307"/>
    <s v="Lonesome Pine Restaurant"/>
    <s v="Fuller, Andrew"/>
    <d v="1996-09-17T00:00:00"/>
    <d v="1996-09-25T00:00:00"/>
    <x v="2"/>
    <n v="0.61599999999999999"/>
    <s v="USA"/>
  </r>
  <r>
    <n v="10308"/>
    <s v="Ana Trujillo Emparedados y helados"/>
    <s v="King, Robert"/>
    <d v="1996-09-18T00:00:00"/>
    <d v="1996-09-24T00:00:00"/>
    <x v="0"/>
    <n v="1.7709999999999999"/>
    <s v="Mexico"/>
  </r>
  <r>
    <n v="10309"/>
    <s v="Hungry Owl All-Night Grocers"/>
    <s v="Leverling, Janet"/>
    <d v="1996-09-19T00:00:00"/>
    <d v="1996-10-23T00:00:00"/>
    <x v="1"/>
    <n v="52.03"/>
    <s v="Ireland"/>
  </r>
  <r>
    <n v="10310"/>
    <s v="The Big Cheese"/>
    <s v="Callahan, Laura"/>
    <d v="1996-09-20T00:00:00"/>
    <d v="1996-09-27T00:00:00"/>
    <x v="2"/>
    <n v="19.271999999999998"/>
    <s v="USA"/>
  </r>
  <r>
    <n v="10311"/>
    <s v="Du monde entier"/>
    <s v="Davolio, Nancy"/>
    <d v="1996-09-20T00:00:00"/>
    <d v="1996-09-26T00:00:00"/>
    <x v="0"/>
    <n v="27.158999999999999"/>
    <s v="France"/>
  </r>
  <r>
    <n v="10312"/>
    <s v="Die Wandernde Kuh"/>
    <s v="Fuller, Andrew"/>
    <d v="1996-09-23T00:00:00"/>
    <d v="1996-10-03T00:00:00"/>
    <x v="2"/>
    <n v="44.286000000000001"/>
    <s v="Germany"/>
  </r>
  <r>
    <n v="10313"/>
    <s v="QUICK-Stop"/>
    <s v="Fuller, Andrew"/>
    <d v="1996-09-24T00:00:00"/>
    <d v="1996-10-04T00:00:00"/>
    <x v="2"/>
    <n v="2.1560000000000001"/>
    <s v="Germany"/>
  </r>
  <r>
    <n v="10314"/>
    <s v="Rattlesnake Canyon Grocery"/>
    <s v="Davolio, Nancy"/>
    <d v="1996-09-25T00:00:00"/>
    <d v="1996-10-04T00:00:00"/>
    <x v="2"/>
    <n v="81.575999999999993"/>
    <s v="USA"/>
  </r>
  <r>
    <n v="10315"/>
    <s v="Island Trading"/>
    <s v="Peacock, Margaret"/>
    <d v="1996-09-26T00:00:00"/>
    <d v="1996-10-03T00:00:00"/>
    <x v="2"/>
    <n v="45.936"/>
    <s v="UK"/>
  </r>
  <r>
    <n v="10316"/>
    <s v="Rattlesnake Canyon Grocery"/>
    <s v="Davolio, Nancy"/>
    <d v="1996-09-27T00:00:00"/>
    <d v="1996-10-08T00:00:00"/>
    <x v="0"/>
    <n v="165.16499999999999"/>
    <s v="USA"/>
  </r>
  <r>
    <n v="10317"/>
    <s v="Lonesome Pine Restaurant"/>
    <s v="Suyama, Michael"/>
    <d v="1996-09-30T00:00:00"/>
    <d v="1996-10-10T00:00:00"/>
    <x v="1"/>
    <n v="13.959"/>
    <s v="USA"/>
  </r>
  <r>
    <n v="10318"/>
    <s v="Island Trading"/>
    <s v="Callahan, Laura"/>
    <d v="1996-10-01T00:00:00"/>
    <d v="1996-10-04T00:00:00"/>
    <x v="2"/>
    <n v="5.2030000000000003"/>
    <s v="UK"/>
  </r>
  <r>
    <n v="10319"/>
    <s v="Tortuga Restaurante"/>
    <s v="King, Robert"/>
    <d v="1996-10-02T00:00:00"/>
    <d v="1996-10-11T00:00:00"/>
    <x v="0"/>
    <n v="70.95"/>
    <s v="Mexico"/>
  </r>
  <r>
    <n v="10320"/>
    <s v="Wartian Herkku"/>
    <s v="Buchanan, Steven"/>
    <d v="1996-10-03T00:00:00"/>
    <d v="1996-10-18T00:00:00"/>
    <x v="0"/>
    <n v="38.027000000000001"/>
    <s v="Finland"/>
  </r>
  <r>
    <n v="10321"/>
    <s v="Island Trading"/>
    <s v="Leverling, Janet"/>
    <d v="1996-10-03T00:00:00"/>
    <d v="1996-10-11T00:00:00"/>
    <x v="2"/>
    <n v="3.7730000000000001"/>
    <s v="UK"/>
  </r>
  <r>
    <n v="10322"/>
    <s v="Pericles Comidas clásicas"/>
    <s v="King, Robert"/>
    <d v="1996-10-04T00:00:00"/>
    <d v="1996-10-23T00:00:00"/>
    <x v="0"/>
    <n v="0.44"/>
    <s v="Mexico"/>
  </r>
  <r>
    <n v="10323"/>
    <s v="Königlich Essen"/>
    <s v="Peacock, Margaret"/>
    <d v="1996-10-07T00:00:00"/>
    <d v="1996-10-14T00:00:00"/>
    <x v="1"/>
    <n v="5.3680000000000003"/>
    <s v="Germany"/>
  </r>
  <r>
    <n v="10324"/>
    <s v="Save-a-lot Markets"/>
    <s v="Dodsworth, Anne"/>
    <d v="1996-10-08T00:00:00"/>
    <d v="1996-10-10T00:00:00"/>
    <x v="1"/>
    <n v="235.697"/>
    <s v="USA"/>
  </r>
  <r>
    <n v="10325"/>
    <s v="Königlich Essen"/>
    <s v="Davolio, Nancy"/>
    <d v="1996-10-09T00:00:00"/>
    <d v="1996-10-14T00:00:00"/>
    <x v="0"/>
    <n v="71.346000000000004"/>
    <s v="Germany"/>
  </r>
  <r>
    <n v="10326"/>
    <s v="Bólido Comidas preparadas"/>
    <s v="Peacock, Margaret"/>
    <d v="1996-10-10T00:00:00"/>
    <d v="1996-10-14T00:00:00"/>
    <x v="2"/>
    <n v="85.712000000000003"/>
    <s v="Spain"/>
  </r>
  <r>
    <n v="10327"/>
    <s v="Folk och fä HB"/>
    <s v="Fuller, Andrew"/>
    <d v="1996-10-11T00:00:00"/>
    <d v="1996-10-14T00:00:00"/>
    <x v="1"/>
    <n v="69.695999999999998"/>
    <s v="Sweden"/>
  </r>
  <r>
    <n v="10328"/>
    <s v="Furia Bacalhau e Frutos do Mar"/>
    <s v="Peacock, Margaret"/>
    <d v="1996-10-14T00:00:00"/>
    <d v="1996-10-17T00:00:00"/>
    <x v="0"/>
    <n v="95.733000000000004"/>
    <s v="Portugal"/>
  </r>
  <r>
    <n v="10329"/>
    <s v="Split Rail Beer &amp; Ale"/>
    <s v="Peacock, Margaret"/>
    <d v="1996-10-15T00:00:00"/>
    <d v="1996-10-23T00:00:00"/>
    <x v="2"/>
    <n v="210.83699999999999"/>
    <s v="USA"/>
  </r>
  <r>
    <n v="10330"/>
    <s v="LILA-Supermercado"/>
    <s v="Leverling, Janet"/>
    <d v="1996-10-16T00:00:00"/>
    <d v="1996-10-28T00:00:00"/>
    <x v="1"/>
    <n v="14.025"/>
    <s v="Venezuela"/>
  </r>
  <r>
    <n v="10331"/>
    <s v="Bon app'"/>
    <s v="Dodsworth, Anne"/>
    <d v="1996-10-16T00:00:00"/>
    <d v="1996-10-21T00:00:00"/>
    <x v="1"/>
    <n v="11.209"/>
    <s v="France"/>
  </r>
  <r>
    <n v="10332"/>
    <s v="Mère Paillarde"/>
    <s v="Leverling, Janet"/>
    <d v="1996-10-17T00:00:00"/>
    <d v="1996-10-21T00:00:00"/>
    <x v="2"/>
    <n v="58.124000000000002"/>
    <s v="Canada"/>
  </r>
  <r>
    <n v="10333"/>
    <s v="Wartian Herkku"/>
    <s v="Buchanan, Steven"/>
    <d v="1996-10-18T00:00:00"/>
    <d v="1996-10-25T00:00:00"/>
    <x v="0"/>
    <n v="0.64900000000000002"/>
    <s v="Finland"/>
  </r>
  <r>
    <n v="10334"/>
    <s v="Victuailles en stock"/>
    <s v="Callahan, Laura"/>
    <d v="1996-10-21T00:00:00"/>
    <d v="1996-10-28T00:00:00"/>
    <x v="2"/>
    <n v="9.4160000000000004"/>
    <s v="France"/>
  </r>
  <r>
    <n v="10335"/>
    <s v="Hungry Owl All-Night Grocers"/>
    <s v="King, Robert"/>
    <d v="1996-10-22T00:00:00"/>
    <d v="1996-10-24T00:00:00"/>
    <x v="2"/>
    <n v="46.320999999999998"/>
    <s v="Ireland"/>
  </r>
  <r>
    <n v="10336"/>
    <s v="Princesa Isabel Vinhos"/>
    <s v="King, Robert"/>
    <d v="1996-10-23T00:00:00"/>
    <d v="1996-10-25T00:00:00"/>
    <x v="2"/>
    <n v="17.061"/>
    <s v="Portugal"/>
  </r>
  <r>
    <n v="10337"/>
    <s v="Frankenversand"/>
    <s v="Peacock, Margaret"/>
    <d v="1996-10-24T00:00:00"/>
    <d v="1996-10-29T00:00:00"/>
    <x v="0"/>
    <n v="119.086"/>
    <s v="Germany"/>
  </r>
  <r>
    <n v="10338"/>
    <s v="Old World Delicatessen"/>
    <s v="Peacock, Margaret"/>
    <d v="1996-10-25T00:00:00"/>
    <d v="1996-10-29T00:00:00"/>
    <x v="0"/>
    <n v="92.631"/>
    <s v="USA"/>
  </r>
  <r>
    <n v="10339"/>
    <s v="Mère Paillarde"/>
    <s v="Fuller, Andrew"/>
    <d v="1996-10-28T00:00:00"/>
    <d v="1996-11-04T00:00:00"/>
    <x v="2"/>
    <n v="17.225999999999999"/>
    <s v="Canada"/>
  </r>
  <r>
    <n v="10340"/>
    <s v="Bon app'"/>
    <s v="Davolio, Nancy"/>
    <d v="1996-10-29T00:00:00"/>
    <d v="1996-11-08T00:00:00"/>
    <x v="0"/>
    <n v="182.941"/>
    <s v="France"/>
  </r>
  <r>
    <n v="10341"/>
    <s v="Simons bistro"/>
    <s v="King, Robert"/>
    <d v="1996-10-29T00:00:00"/>
    <d v="1996-11-05T00:00:00"/>
    <x v="0"/>
    <n v="29.457999999999998"/>
    <s v="Denmark"/>
  </r>
  <r>
    <n v="10342"/>
    <s v="Frankenversand"/>
    <s v="Peacock, Margaret"/>
    <d v="1996-10-30T00:00:00"/>
    <d v="1996-11-04T00:00:00"/>
    <x v="2"/>
    <n v="60.313000000000002"/>
    <s v="Germany"/>
  </r>
  <r>
    <n v="10343"/>
    <s v="Lehmanns Marktstand"/>
    <s v="Peacock, Margaret"/>
    <d v="1996-10-31T00:00:00"/>
    <d v="1996-11-06T00:00:00"/>
    <x v="1"/>
    <n v="121.407"/>
    <s v="Germany"/>
  </r>
  <r>
    <n v="10344"/>
    <s v="White Clover Markets"/>
    <s v="Peacock, Margaret"/>
    <d v="1996-11-01T00:00:00"/>
    <d v="1996-11-05T00:00:00"/>
    <x v="2"/>
    <n v="25.619"/>
    <s v="USA"/>
  </r>
  <r>
    <n v="10345"/>
    <s v="QUICK-Stop"/>
    <s v="Fuller, Andrew"/>
    <d v="1996-11-04T00:00:00"/>
    <d v="1996-11-11T00:00:00"/>
    <x v="2"/>
    <n v="273.96600000000001"/>
    <s v="Germany"/>
  </r>
  <r>
    <n v="10346"/>
    <s v="Rattlesnake Canyon Grocery"/>
    <s v="Leverling, Janet"/>
    <d v="1996-11-05T00:00:00"/>
    <d v="1996-11-08T00:00:00"/>
    <x v="0"/>
    <n v="156.28800000000001"/>
    <s v="USA"/>
  </r>
  <r>
    <n v="10347"/>
    <s v="Familia Arquibaldo"/>
    <s v="Peacock, Margaret"/>
    <d v="1996-11-06T00:00:00"/>
    <d v="1996-11-08T00:00:00"/>
    <x v="0"/>
    <n v="3.41"/>
    <s v="Brazil"/>
  </r>
  <r>
    <n v="10348"/>
    <s v="Die Wandernde Kuh"/>
    <s v="Peacock, Margaret"/>
    <d v="1996-11-07T00:00:00"/>
    <d v="1996-11-15T00:00:00"/>
    <x v="2"/>
    <n v="0.85799999999999998"/>
    <s v="Germany"/>
  </r>
  <r>
    <n v="10349"/>
    <s v="Split Rail Beer &amp; Ale"/>
    <s v="King, Robert"/>
    <d v="1996-11-08T00:00:00"/>
    <d v="1996-11-15T00:00:00"/>
    <x v="1"/>
    <n v="9.4930000000000003"/>
    <s v="USA"/>
  </r>
  <r>
    <n v="10350"/>
    <s v="La maison d'Asie"/>
    <s v="Suyama, Michael"/>
    <d v="1996-11-11T00:00:00"/>
    <d v="1996-12-03T00:00:00"/>
    <x v="2"/>
    <n v="70.608999999999995"/>
    <s v="France"/>
  </r>
  <r>
    <n v="10351"/>
    <s v="Ernst Handel"/>
    <s v="Davolio, Nancy"/>
    <d v="1996-11-11T00:00:00"/>
    <d v="1996-11-20T00:00:00"/>
    <x v="1"/>
    <n v="178.56299999999999"/>
    <s v="Austria"/>
  </r>
  <r>
    <n v="10352"/>
    <s v="Furia Bacalhau e Frutos do Mar"/>
    <s v="Leverling, Janet"/>
    <d v="1996-11-12T00:00:00"/>
    <d v="1996-11-18T00:00:00"/>
    <x v="0"/>
    <n v="1.43"/>
    <s v="Portugal"/>
  </r>
  <r>
    <n v="10353"/>
    <s v="Piccolo und mehr"/>
    <s v="King, Robert"/>
    <d v="1996-11-13T00:00:00"/>
    <d v="1996-11-25T00:00:00"/>
    <x v="0"/>
    <n v="396.69299999999998"/>
    <s v="Austria"/>
  </r>
  <r>
    <n v="10354"/>
    <s v="Pericles Comidas clásicas"/>
    <s v="Callahan, Laura"/>
    <d v="1996-11-14T00:00:00"/>
    <d v="1996-11-20T00:00:00"/>
    <x v="0"/>
    <n v="59.18"/>
    <s v="Mexico"/>
  </r>
  <r>
    <n v="10355"/>
    <s v="Around the Horn"/>
    <s v="Suyama, Michael"/>
    <d v="1996-11-15T00:00:00"/>
    <d v="1996-11-20T00:00:00"/>
    <x v="1"/>
    <n v="46.145000000000003"/>
    <s v="UK"/>
  </r>
  <r>
    <n v="10356"/>
    <s v="Die Wandernde Kuh"/>
    <s v="Suyama, Michael"/>
    <d v="1996-11-18T00:00:00"/>
    <d v="1996-11-27T00:00:00"/>
    <x v="2"/>
    <n v="40.381"/>
    <s v="Germany"/>
  </r>
  <r>
    <n v="10357"/>
    <s v="LILA-Supermercado"/>
    <s v="Davolio, Nancy"/>
    <d v="1996-11-19T00:00:00"/>
    <d v="1996-12-02T00:00:00"/>
    <x v="0"/>
    <n v="38.368000000000002"/>
    <s v="Venezuela"/>
  </r>
  <r>
    <n v="10358"/>
    <s v="La maison d'Asie"/>
    <s v="Buchanan, Steven"/>
    <d v="1996-11-20T00:00:00"/>
    <d v="1996-11-27T00:00:00"/>
    <x v="1"/>
    <n v="21.603999999999999"/>
    <s v="France"/>
  </r>
  <r>
    <n v="10359"/>
    <s v="Seven Seas Imports"/>
    <s v="Buchanan, Steven"/>
    <d v="1996-11-21T00:00:00"/>
    <d v="1996-11-26T00:00:00"/>
    <x v="0"/>
    <n v="317.27300000000002"/>
    <s v="UK"/>
  </r>
  <r>
    <n v="10360"/>
    <s v="Blondel père et fils"/>
    <s v="Peacock, Margaret"/>
    <d v="1996-11-22T00:00:00"/>
    <d v="1996-12-02T00:00:00"/>
    <x v="0"/>
    <n v="144.87"/>
    <s v="France"/>
  </r>
  <r>
    <n v="10361"/>
    <s v="QUICK-Stop"/>
    <s v="Davolio, Nancy"/>
    <d v="1996-11-22T00:00:00"/>
    <d v="1996-12-03T00:00:00"/>
    <x v="2"/>
    <n v="201.48699999999999"/>
    <s v="Germany"/>
  </r>
  <r>
    <n v="10362"/>
    <s v="Bon app'"/>
    <s v="Leverling, Janet"/>
    <d v="1996-11-25T00:00:00"/>
    <d v="1996-11-28T00:00:00"/>
    <x v="1"/>
    <n v="105.64400000000001"/>
    <s v="France"/>
  </r>
  <r>
    <n v="10363"/>
    <s v="Drachenblut Delikatessen"/>
    <s v="Peacock, Margaret"/>
    <d v="1996-11-26T00:00:00"/>
    <d v="1996-12-04T00:00:00"/>
    <x v="0"/>
    <n v="33.594000000000001"/>
    <s v="Germany"/>
  </r>
  <r>
    <n v="10364"/>
    <s v="Eastern Connection"/>
    <s v="Davolio, Nancy"/>
    <d v="1996-11-26T00:00:00"/>
    <d v="1996-12-04T00:00:00"/>
    <x v="1"/>
    <n v="79.167000000000002"/>
    <s v="UK"/>
  </r>
  <r>
    <n v="10365"/>
    <s v="Antonio Moreno Taquería"/>
    <s v="Leverling, Janet"/>
    <d v="1996-11-27T00:00:00"/>
    <d v="1996-12-02T00:00:00"/>
    <x v="2"/>
    <n v="24.2"/>
    <s v="Mexico"/>
  </r>
  <r>
    <n v="10366"/>
    <s v="Galería del gastrónomo"/>
    <s v="Callahan, Laura"/>
    <d v="1996-11-28T00:00:00"/>
    <d v="1996-12-30T00:00:00"/>
    <x v="2"/>
    <n v="11.154"/>
    <s v="Spain"/>
  </r>
  <r>
    <n v="10367"/>
    <s v="Vaffeljernet"/>
    <s v="King, Robert"/>
    <d v="1996-11-28T00:00:00"/>
    <d v="1996-12-02T00:00:00"/>
    <x v="0"/>
    <n v="14.904999999999999"/>
    <s v="Denmark"/>
  </r>
  <r>
    <n v="10368"/>
    <s v="Ernst Handel"/>
    <s v="Fuller, Andrew"/>
    <d v="1996-11-29T00:00:00"/>
    <d v="1996-12-02T00:00:00"/>
    <x v="2"/>
    <n v="112.145"/>
    <s v="Austria"/>
  </r>
  <r>
    <n v="10369"/>
    <s v="Split Rail Beer &amp; Ale"/>
    <s v="Callahan, Laura"/>
    <d v="1996-12-02T00:00:00"/>
    <d v="1996-12-09T00:00:00"/>
    <x v="2"/>
    <n v="215.24799999999999"/>
    <s v="USA"/>
  </r>
  <r>
    <n v="10370"/>
    <s v="Chop-suey Chinese"/>
    <s v="Suyama, Michael"/>
    <d v="1996-12-03T00:00:00"/>
    <d v="1996-12-27T00:00:00"/>
    <x v="2"/>
    <n v="1.2869999999999999"/>
    <s v="Switzerland"/>
  </r>
  <r>
    <n v="10371"/>
    <s v="La maison d'Asie"/>
    <s v="Davolio, Nancy"/>
    <d v="1996-12-03T00:00:00"/>
    <d v="1996-12-24T00:00:00"/>
    <x v="1"/>
    <n v="0.495"/>
    <s v="France"/>
  </r>
  <r>
    <n v="10372"/>
    <s v="Queen Cozinha"/>
    <s v="Buchanan, Steven"/>
    <d v="1996-12-04T00:00:00"/>
    <d v="1996-12-09T00:00:00"/>
    <x v="2"/>
    <n v="979.85799999999995"/>
    <s v="Brazil"/>
  </r>
  <r>
    <n v="10373"/>
    <s v="Hungry Owl All-Night Grocers"/>
    <s v="Peacock, Margaret"/>
    <d v="1996-12-05T00:00:00"/>
    <d v="1996-12-11T00:00:00"/>
    <x v="0"/>
    <n v="136.53200000000001"/>
    <s v="Ireland"/>
  </r>
  <r>
    <n v="10374"/>
    <s v="Wolski  Zajazd"/>
    <s v="Davolio, Nancy"/>
    <d v="1996-12-05T00:00:00"/>
    <d v="1996-12-09T00:00:00"/>
    <x v="0"/>
    <n v="4.3339999999999996"/>
    <s v="Poland"/>
  </r>
  <r>
    <n v="10375"/>
    <s v="Hungry Coyote Import Store"/>
    <s v="Leverling, Janet"/>
    <d v="1996-12-06T00:00:00"/>
    <d v="1996-12-09T00:00:00"/>
    <x v="2"/>
    <n v="22.132000000000001"/>
    <s v="USA"/>
  </r>
  <r>
    <n v="10376"/>
    <s v="Mère Paillarde"/>
    <s v="Davolio, Nancy"/>
    <d v="1996-12-09T00:00:00"/>
    <d v="1996-12-13T00:00:00"/>
    <x v="2"/>
    <n v="22.428999999999998"/>
    <s v="Canada"/>
  </r>
  <r>
    <n v="10377"/>
    <s v="Seven Seas Imports"/>
    <s v="Davolio, Nancy"/>
    <d v="1996-12-09T00:00:00"/>
    <d v="1996-12-13T00:00:00"/>
    <x v="0"/>
    <n v="24.431000000000001"/>
    <s v="UK"/>
  </r>
  <r>
    <n v="10378"/>
    <s v="Folk och fä HB"/>
    <s v="Buchanan, Steven"/>
    <d v="1996-12-10T00:00:00"/>
    <d v="1996-12-19T00:00:00"/>
    <x v="0"/>
    <n v="5.984"/>
    <s v="Sweden"/>
  </r>
  <r>
    <n v="10379"/>
    <s v="Que Delícia"/>
    <s v="Fuller, Andrew"/>
    <d v="1996-12-11T00:00:00"/>
    <d v="1996-12-13T00:00:00"/>
    <x v="1"/>
    <n v="49.533000000000001"/>
    <s v="Brazil"/>
  </r>
  <r>
    <n v="10380"/>
    <s v="Hungry Owl All-Night Grocers"/>
    <s v="Callahan, Laura"/>
    <d v="1996-12-12T00:00:00"/>
    <d v="1997-01-16T00:00:00"/>
    <x v="0"/>
    <n v="38.533000000000001"/>
    <s v="Ireland"/>
  </r>
  <r>
    <n v="10381"/>
    <s v="LILA-Supermercado"/>
    <s v="Leverling, Janet"/>
    <d v="1996-12-12T00:00:00"/>
    <d v="1996-12-13T00:00:00"/>
    <x v="0"/>
    <n v="8.7889999999999997"/>
    <s v="Venezuela"/>
  </r>
  <r>
    <n v="10382"/>
    <s v="Ernst Handel"/>
    <s v="Peacock, Margaret"/>
    <d v="1996-12-13T00:00:00"/>
    <d v="1996-12-16T00:00:00"/>
    <x v="1"/>
    <n v="104.247"/>
    <s v="Austria"/>
  </r>
  <r>
    <n v="10383"/>
    <s v="Around the Horn"/>
    <s v="Callahan, Laura"/>
    <d v="1996-12-16T00:00:00"/>
    <d v="1996-12-18T00:00:00"/>
    <x v="0"/>
    <n v="37.664000000000001"/>
    <s v="UK"/>
  </r>
  <r>
    <n v="10384"/>
    <s v="Berglunds snabbköp"/>
    <s v="Leverling, Janet"/>
    <d v="1996-12-16T00:00:00"/>
    <d v="1996-12-20T00:00:00"/>
    <x v="0"/>
    <n v="185.50399999999999"/>
    <s v="Sweden"/>
  </r>
  <r>
    <n v="10385"/>
    <s v="Split Rail Beer &amp; Ale"/>
    <s v="Davolio, Nancy"/>
    <d v="1996-12-17T00:00:00"/>
    <d v="1996-12-23T00:00:00"/>
    <x v="2"/>
    <n v="34.055999999999997"/>
    <s v="USA"/>
  </r>
  <r>
    <n v="10386"/>
    <s v="Familia Arquibaldo"/>
    <s v="Dodsworth, Anne"/>
    <d v="1996-12-18T00:00:00"/>
    <d v="1996-12-25T00:00:00"/>
    <x v="0"/>
    <n v="15.388999999999999"/>
    <s v="Brazil"/>
  </r>
  <r>
    <n v="10387"/>
    <s v="Santé Gourmet"/>
    <s v="Davolio, Nancy"/>
    <d v="1996-12-18T00:00:00"/>
    <d v="1996-12-20T00:00:00"/>
    <x v="2"/>
    <n v="102.99299999999999"/>
    <s v="Norway"/>
  </r>
  <r>
    <n v="10388"/>
    <s v="Seven Seas Imports"/>
    <s v="Fuller, Andrew"/>
    <d v="1996-12-19T00:00:00"/>
    <d v="1996-12-20T00:00:00"/>
    <x v="1"/>
    <n v="38.345999999999997"/>
    <s v="UK"/>
  </r>
  <r>
    <n v="10389"/>
    <s v="Bottom-Dollar Markets"/>
    <s v="Peacock, Margaret"/>
    <d v="1996-12-20T00:00:00"/>
    <d v="1996-12-24T00:00:00"/>
    <x v="2"/>
    <n v="52.161999999999999"/>
    <s v="Canada"/>
  </r>
  <r>
    <n v="10390"/>
    <s v="Ernst Handel"/>
    <s v="Suyama, Michael"/>
    <d v="1996-12-23T00:00:00"/>
    <d v="1996-12-26T00:00:00"/>
    <x v="1"/>
    <n v="139.018"/>
    <s v="Austria"/>
  </r>
  <r>
    <n v="10391"/>
    <s v="Drachenblut Delikatessen"/>
    <s v="Leverling, Janet"/>
    <d v="1996-12-23T00:00:00"/>
    <d v="1996-12-31T00:00:00"/>
    <x v="0"/>
    <n v="5.9950000000000001"/>
    <s v="Germany"/>
  </r>
  <r>
    <n v="10392"/>
    <s v="Piccolo und mehr"/>
    <s v="Fuller, Andrew"/>
    <d v="1996-12-24T00:00:00"/>
    <d v="1997-01-01T00:00:00"/>
    <x v="0"/>
    <n v="134.70599999999999"/>
    <s v="Austria"/>
  </r>
  <r>
    <n v="10393"/>
    <s v="Save-a-lot Markets"/>
    <s v="Davolio, Nancy"/>
    <d v="1996-12-25T00:00:00"/>
    <d v="1997-01-03T00:00:00"/>
    <x v="0"/>
    <n v="139.21600000000001"/>
    <s v="USA"/>
  </r>
  <r>
    <n v="10394"/>
    <s v="Hungry Coyote Import Store"/>
    <s v="Davolio, Nancy"/>
    <d v="1996-12-25T00:00:00"/>
    <d v="1997-01-03T00:00:00"/>
    <x v="0"/>
    <n v="33.374000000000002"/>
    <s v="USA"/>
  </r>
  <r>
    <n v="10395"/>
    <s v="HILARIÓN-Abastos"/>
    <s v="Suyama, Michael"/>
    <d v="1996-12-26T00:00:00"/>
    <d v="1997-01-03T00:00:00"/>
    <x v="1"/>
    <n v="202.851"/>
    <s v="Venezuela"/>
  </r>
  <r>
    <n v="10396"/>
    <s v="Frankenversand"/>
    <s v="Davolio, Nancy"/>
    <d v="1996-12-27T00:00:00"/>
    <d v="1997-01-06T00:00:00"/>
    <x v="0"/>
    <n v="148.88499999999999"/>
    <s v="Germany"/>
  </r>
  <r>
    <n v="10397"/>
    <s v="Princesa Isabel Vinhos"/>
    <s v="Buchanan, Steven"/>
    <d v="1996-12-27T00:00:00"/>
    <d v="1997-01-02T00:00:00"/>
    <x v="1"/>
    <n v="66.286000000000001"/>
    <s v="Portugal"/>
  </r>
  <r>
    <n v="10398"/>
    <s v="Save-a-lot Markets"/>
    <s v="Fuller, Andrew"/>
    <d v="1996-12-30T00:00:00"/>
    <d v="1997-01-09T00:00:00"/>
    <x v="0"/>
    <n v="98.075999999999993"/>
    <s v="USA"/>
  </r>
  <r>
    <n v="10399"/>
    <s v="Vaffeljernet"/>
    <s v="Callahan, Laura"/>
    <d v="1996-12-31T00:00:00"/>
    <d v="1997-01-08T00:00:00"/>
    <x v="0"/>
    <n v="30.096"/>
    <s v="Denmark"/>
  </r>
  <r>
    <n v="10400"/>
    <s v="Eastern Connection"/>
    <s v="Davolio, Nancy"/>
    <d v="1997-01-01T00:00:00"/>
    <d v="1997-01-16T00:00:00"/>
    <x v="0"/>
    <n v="92.322999999999993"/>
    <s v="UK"/>
  </r>
  <r>
    <n v="10401"/>
    <s v="Rattlesnake Canyon Grocery"/>
    <s v="Davolio, Nancy"/>
    <d v="1997-01-01T00:00:00"/>
    <d v="1997-01-10T00:00:00"/>
    <x v="1"/>
    <n v="13.760999999999999"/>
    <s v="USA"/>
  </r>
  <r>
    <n v="10402"/>
    <s v="Ernst Handel"/>
    <s v="Callahan, Laura"/>
    <d v="1997-01-02T00:00:00"/>
    <d v="1997-01-10T00:00:00"/>
    <x v="2"/>
    <n v="74.668000000000006"/>
    <s v="Austria"/>
  </r>
  <r>
    <n v="10403"/>
    <s v="Ernst Handel"/>
    <s v="Peacock, Margaret"/>
    <d v="1997-01-03T00:00:00"/>
    <d v="1997-01-09T00:00:00"/>
    <x v="0"/>
    <n v="81.168999999999997"/>
    <s v="Austria"/>
  </r>
  <r>
    <n v="10404"/>
    <s v="Magazzini Alimentari Riuniti"/>
    <s v="Fuller, Andrew"/>
    <d v="1997-01-03T00:00:00"/>
    <d v="1997-01-08T00:00:00"/>
    <x v="1"/>
    <n v="171.56700000000001"/>
    <s v="Italy"/>
  </r>
  <r>
    <n v="10405"/>
    <s v="LINO-Delicateses"/>
    <s v="Davolio, Nancy"/>
    <d v="1997-01-06T00:00:00"/>
    <d v="1997-01-22T00:00:00"/>
    <x v="1"/>
    <n v="38.302"/>
    <s v="Venezuela"/>
  </r>
  <r>
    <n v="10406"/>
    <s v="Queen Cozinha"/>
    <s v="King, Robert"/>
    <d v="1997-01-07T00:00:00"/>
    <d v="1997-01-13T00:00:00"/>
    <x v="1"/>
    <n v="118.84399999999999"/>
    <s v="Brazil"/>
  </r>
  <r>
    <n v="10407"/>
    <s v="Ottilies Käseladen"/>
    <s v="Fuller, Andrew"/>
    <d v="1997-01-07T00:00:00"/>
    <d v="1997-01-30T00:00:00"/>
    <x v="2"/>
    <n v="100.628"/>
    <s v="Germany"/>
  </r>
  <r>
    <n v="10408"/>
    <s v="Folies gourmandes"/>
    <s v="Callahan, Laura"/>
    <d v="1997-01-08T00:00:00"/>
    <d v="1997-01-14T00:00:00"/>
    <x v="1"/>
    <n v="12.385999999999999"/>
    <s v="France"/>
  </r>
  <r>
    <n v="10409"/>
    <s v="Océano Atlántico Ltda."/>
    <s v="Leverling, Janet"/>
    <d v="1997-01-09T00:00:00"/>
    <d v="1997-01-14T00:00:00"/>
    <x v="1"/>
    <n v="32.813000000000002"/>
    <s v="Argentina"/>
  </r>
  <r>
    <n v="10410"/>
    <s v="Bottom-Dollar Markets"/>
    <s v="Leverling, Janet"/>
    <d v="1997-01-10T00:00:00"/>
    <d v="1997-01-15T00:00:00"/>
    <x v="0"/>
    <n v="2.64"/>
    <s v="Canada"/>
  </r>
  <r>
    <n v="10411"/>
    <s v="Bottom-Dollar Markets"/>
    <s v="Dodsworth, Anne"/>
    <d v="1997-01-10T00:00:00"/>
    <d v="1997-01-21T00:00:00"/>
    <x v="0"/>
    <n v="26.015000000000001"/>
    <s v="Canada"/>
  </r>
  <r>
    <n v="10412"/>
    <s v="Wartian Herkku"/>
    <s v="Callahan, Laura"/>
    <d v="1997-01-13T00:00:00"/>
    <d v="1997-01-15T00:00:00"/>
    <x v="2"/>
    <n v="4.1470000000000002"/>
    <s v="Finland"/>
  </r>
  <r>
    <n v="10413"/>
    <s v="La maison d'Asie"/>
    <s v="Leverling, Janet"/>
    <d v="1997-01-14T00:00:00"/>
    <d v="1997-01-16T00:00:00"/>
    <x v="2"/>
    <n v="105.226"/>
    <s v="France"/>
  </r>
  <r>
    <n v="10414"/>
    <s v="Familia Arquibaldo"/>
    <s v="Fuller, Andrew"/>
    <d v="1997-01-14T00:00:00"/>
    <d v="1997-01-17T00:00:00"/>
    <x v="0"/>
    <n v="23.628"/>
    <s v="Brazil"/>
  </r>
  <r>
    <n v="10415"/>
    <s v="Hungry Coyote Import Store"/>
    <s v="Leverling, Janet"/>
    <d v="1997-01-15T00:00:00"/>
    <d v="1997-01-24T00:00:00"/>
    <x v="1"/>
    <n v="0.22"/>
    <s v="USA"/>
  </r>
  <r>
    <n v="10416"/>
    <s v="Wartian Herkku"/>
    <s v="Callahan, Laura"/>
    <d v="1997-01-16T00:00:00"/>
    <d v="1997-01-27T00:00:00"/>
    <x v="0"/>
    <n v="24.992000000000001"/>
    <s v="Finland"/>
  </r>
  <r>
    <n v="10417"/>
    <s v="Simons bistro"/>
    <s v="Peacock, Margaret"/>
    <d v="1997-01-16T00:00:00"/>
    <d v="1997-01-28T00:00:00"/>
    <x v="0"/>
    <n v="77.319000000000003"/>
    <s v="Denmark"/>
  </r>
  <r>
    <n v="10418"/>
    <s v="QUICK-Stop"/>
    <s v="Peacock, Margaret"/>
    <d v="1997-01-17T00:00:00"/>
    <d v="1997-01-24T00:00:00"/>
    <x v="1"/>
    <n v="19.305"/>
    <s v="Germany"/>
  </r>
  <r>
    <n v="10419"/>
    <s v="Richter Supermarkt"/>
    <s v="Peacock, Margaret"/>
    <d v="1997-01-20T00:00:00"/>
    <d v="1997-01-30T00:00:00"/>
    <x v="2"/>
    <n v="151.08500000000001"/>
    <s v="Switzerland"/>
  </r>
  <r>
    <n v="10420"/>
    <s v="Wellington Importadora"/>
    <s v="Leverling, Janet"/>
    <d v="1997-01-21T00:00:00"/>
    <d v="1997-01-27T00:00:00"/>
    <x v="1"/>
    <n v="48.531999999999996"/>
    <s v="Brazil"/>
  </r>
  <r>
    <n v="10421"/>
    <s v="Que Delícia"/>
    <s v="Callahan, Laura"/>
    <d v="1997-01-21T00:00:00"/>
    <d v="1997-01-27T00:00:00"/>
    <x v="1"/>
    <n v="109.15300000000001"/>
    <s v="Brazil"/>
  </r>
  <r>
    <n v="10422"/>
    <s v="Franchi S.p.A."/>
    <s v="Fuller, Andrew"/>
    <d v="1997-01-22T00:00:00"/>
    <d v="1997-01-31T00:00:00"/>
    <x v="1"/>
    <n v="3.3220000000000001"/>
    <s v="Italy"/>
  </r>
  <r>
    <n v="10423"/>
    <s v="Gourmet Lanchonetes"/>
    <s v="Suyama, Michael"/>
    <d v="1997-01-23T00:00:00"/>
    <d v="1997-02-24T00:00:00"/>
    <x v="0"/>
    <n v="26.95"/>
    <s v="Brazil"/>
  </r>
  <r>
    <n v="10424"/>
    <s v="Mère Paillarde"/>
    <s v="King, Robert"/>
    <d v="1997-01-23T00:00:00"/>
    <d v="1997-01-27T00:00:00"/>
    <x v="2"/>
    <n v="407.67099999999999"/>
    <s v="Canada"/>
  </r>
  <r>
    <n v="10425"/>
    <s v="La maison d'Asie"/>
    <s v="Suyama, Michael"/>
    <d v="1997-01-24T00:00:00"/>
    <d v="1997-02-14T00:00:00"/>
    <x v="2"/>
    <n v="8.7230000000000008"/>
    <s v="France"/>
  </r>
  <r>
    <n v="10426"/>
    <s v="Galería del gastrónomo"/>
    <s v="Peacock, Margaret"/>
    <d v="1997-01-27T00:00:00"/>
    <d v="1997-02-06T00:00:00"/>
    <x v="1"/>
    <n v="20.559000000000001"/>
    <s v="Spain"/>
  </r>
  <r>
    <n v="10427"/>
    <s v="Piccolo und mehr"/>
    <s v="Peacock, Margaret"/>
    <d v="1997-01-27T00:00:00"/>
    <d v="1997-03-03T00:00:00"/>
    <x v="2"/>
    <n v="34.418999999999997"/>
    <s v="Austria"/>
  </r>
  <r>
    <n v="10428"/>
    <s v="Reggiani Caseifici"/>
    <s v="King, Robert"/>
    <d v="1997-01-28T00:00:00"/>
    <d v="1997-02-04T00:00:00"/>
    <x v="1"/>
    <n v="12.199"/>
    <s v="Italy"/>
  </r>
  <r>
    <n v="10429"/>
    <s v="Hungry Owl All-Night Grocers"/>
    <s v="Leverling, Janet"/>
    <d v="1997-01-29T00:00:00"/>
    <d v="1997-02-07T00:00:00"/>
    <x v="2"/>
    <n v="62.292999999999999"/>
    <s v="Ireland"/>
  </r>
  <r>
    <n v="10430"/>
    <s v="Ernst Handel"/>
    <s v="Peacock, Margaret"/>
    <d v="1997-01-30T00:00:00"/>
    <d v="1997-02-03T00:00:00"/>
    <x v="1"/>
    <n v="504.65800000000002"/>
    <s v="Austria"/>
  </r>
  <r>
    <n v="10431"/>
    <s v="Bottom-Dollar Markets"/>
    <s v="Peacock, Margaret"/>
    <d v="1997-01-30T00:00:00"/>
    <d v="1997-02-07T00:00:00"/>
    <x v="2"/>
    <n v="48.587000000000003"/>
    <s v="Canada"/>
  </r>
  <r>
    <n v="10432"/>
    <s v="Split Rail Beer &amp; Ale"/>
    <s v="Leverling, Janet"/>
    <d v="1997-01-31T00:00:00"/>
    <d v="1997-02-07T00:00:00"/>
    <x v="2"/>
    <n v="4.774"/>
    <s v="USA"/>
  </r>
  <r>
    <n v="10433"/>
    <s v="Princesa Isabel Vinhos"/>
    <s v="Leverling, Janet"/>
    <d v="1997-02-03T00:00:00"/>
    <d v="1997-03-04T00:00:00"/>
    <x v="0"/>
    <n v="81.212999999999994"/>
    <s v="Portugal"/>
  </r>
  <r>
    <n v="10434"/>
    <s v="Folk och fä HB"/>
    <s v="Leverling, Janet"/>
    <d v="1997-02-03T00:00:00"/>
    <d v="1997-02-13T00:00:00"/>
    <x v="2"/>
    <n v="19.712"/>
    <s v="Sweden"/>
  </r>
  <r>
    <n v="10435"/>
    <s v="Consolidated Holdings"/>
    <s v="Callahan, Laura"/>
    <d v="1997-02-04T00:00:00"/>
    <d v="1997-02-07T00:00:00"/>
    <x v="2"/>
    <n v="10.131"/>
    <s v="UK"/>
  </r>
  <r>
    <n v="10436"/>
    <s v="Blondel père et fils"/>
    <s v="Leverling, Janet"/>
    <d v="1997-02-05T00:00:00"/>
    <d v="1997-02-11T00:00:00"/>
    <x v="2"/>
    <n v="172.32599999999999"/>
    <s v="France"/>
  </r>
  <r>
    <n v="10437"/>
    <s v="Wartian Herkku"/>
    <s v="Callahan, Laura"/>
    <d v="1997-02-05T00:00:00"/>
    <d v="1997-02-12T00:00:00"/>
    <x v="1"/>
    <n v="21.966999999999999"/>
    <s v="Finland"/>
  </r>
  <r>
    <n v="10438"/>
    <s v="Toms Spezialitäten"/>
    <s v="Leverling, Janet"/>
    <d v="1997-02-06T00:00:00"/>
    <d v="1997-02-14T00:00:00"/>
    <x v="2"/>
    <n v="9.0640000000000001"/>
    <s v="Germany"/>
  </r>
  <r>
    <n v="10439"/>
    <s v="Mère Paillarde"/>
    <s v="Suyama, Michael"/>
    <d v="1997-02-07T00:00:00"/>
    <d v="1997-02-10T00:00:00"/>
    <x v="0"/>
    <n v="4.4770000000000003"/>
    <s v="Canada"/>
  </r>
  <r>
    <n v="10440"/>
    <s v="Save-a-lot Markets"/>
    <s v="Peacock, Margaret"/>
    <d v="1997-02-10T00:00:00"/>
    <d v="1997-02-28T00:00:00"/>
    <x v="2"/>
    <n v="95.183000000000007"/>
    <s v="USA"/>
  </r>
  <r>
    <n v="10441"/>
    <s v="Old World Delicatessen"/>
    <s v="Leverling, Janet"/>
    <d v="1997-02-10T00:00:00"/>
    <d v="1997-03-14T00:00:00"/>
    <x v="2"/>
    <n v="80.322000000000003"/>
    <s v="USA"/>
  </r>
  <r>
    <n v="10442"/>
    <s v="Ernst Handel"/>
    <s v="Leverling, Janet"/>
    <d v="1997-02-11T00:00:00"/>
    <d v="1997-02-18T00:00:00"/>
    <x v="2"/>
    <n v="52.734000000000002"/>
    <s v="Austria"/>
  </r>
  <r>
    <n v="10443"/>
    <s v="Reggiani Caseifici"/>
    <s v="Callahan, Laura"/>
    <d v="1997-02-12T00:00:00"/>
    <d v="1997-02-14T00:00:00"/>
    <x v="1"/>
    <n v="15.345000000000001"/>
    <s v="Italy"/>
  </r>
  <r>
    <n v="10444"/>
    <s v="Berglunds snabbköp"/>
    <s v="Leverling, Janet"/>
    <d v="1997-02-12T00:00:00"/>
    <d v="1997-02-21T00:00:00"/>
    <x v="0"/>
    <n v="3.85"/>
    <s v="Sweden"/>
  </r>
  <r>
    <n v="10445"/>
    <s v="Berglunds snabbköp"/>
    <s v="Leverling, Janet"/>
    <d v="1997-02-13T00:00:00"/>
    <d v="1997-02-20T00:00:00"/>
    <x v="1"/>
    <n v="10.23"/>
    <s v="Sweden"/>
  </r>
  <r>
    <n v="10446"/>
    <s v="Toms Spezialitäten"/>
    <s v="Suyama, Michael"/>
    <d v="1997-02-14T00:00:00"/>
    <d v="1997-02-19T00:00:00"/>
    <x v="1"/>
    <n v="16.148"/>
    <s v="Germany"/>
  </r>
  <r>
    <n v="10447"/>
    <s v="Ricardo Adocicados"/>
    <s v="Peacock, Margaret"/>
    <d v="1997-02-14T00:00:00"/>
    <d v="1997-03-07T00:00:00"/>
    <x v="2"/>
    <n v="75.525999999999996"/>
    <s v="Brazil"/>
  </r>
  <r>
    <n v="10448"/>
    <s v="Rancho grande"/>
    <s v="Peacock, Margaret"/>
    <d v="1997-02-17T00:00:00"/>
    <d v="1997-02-24T00:00:00"/>
    <x v="2"/>
    <n v="42.701999999999998"/>
    <s v="Argentina"/>
  </r>
  <r>
    <n v="10449"/>
    <s v="Blondel père et fils"/>
    <s v="Leverling, Janet"/>
    <d v="1997-02-18T00:00:00"/>
    <d v="1997-02-27T00:00:00"/>
    <x v="2"/>
    <n v="58.63"/>
    <s v="France"/>
  </r>
  <r>
    <n v="10450"/>
    <s v="Victuailles en stock"/>
    <s v="Callahan, Laura"/>
    <d v="1997-02-19T00:00:00"/>
    <d v="1997-03-11T00:00:00"/>
    <x v="2"/>
    <n v="7.9530000000000003"/>
    <s v="France"/>
  </r>
  <r>
    <n v="10451"/>
    <s v="QUICK-Stop"/>
    <s v="Peacock, Margaret"/>
    <d v="1997-02-19T00:00:00"/>
    <d v="1997-03-12T00:00:00"/>
    <x v="0"/>
    <n v="207.999"/>
    <s v="Germany"/>
  </r>
  <r>
    <n v="10452"/>
    <s v="Save-a-lot Markets"/>
    <s v="Callahan, Laura"/>
    <d v="1997-02-20T00:00:00"/>
    <d v="1997-02-26T00:00:00"/>
    <x v="1"/>
    <n v="154.286"/>
    <s v="USA"/>
  </r>
  <r>
    <n v="10453"/>
    <s v="Around the Horn"/>
    <s v="Davolio, Nancy"/>
    <d v="1997-02-21T00:00:00"/>
    <d v="1997-02-26T00:00:00"/>
    <x v="2"/>
    <n v="27.896000000000001"/>
    <s v="UK"/>
  </r>
  <r>
    <n v="10454"/>
    <s v="La maison d'Asie"/>
    <s v="Peacock, Margaret"/>
    <d v="1997-02-21T00:00:00"/>
    <d v="1997-02-25T00:00:00"/>
    <x v="0"/>
    <n v="3.0139999999999998"/>
    <s v="France"/>
  </r>
  <r>
    <n v="10455"/>
    <s v="Wartian Herkku"/>
    <s v="Callahan, Laura"/>
    <d v="1997-02-24T00:00:00"/>
    <d v="1997-03-03T00:00:00"/>
    <x v="2"/>
    <n v="198.495"/>
    <s v="Finland"/>
  </r>
  <r>
    <n v="10456"/>
    <s v="Königlich Essen"/>
    <s v="Callahan, Laura"/>
    <d v="1997-02-25T00:00:00"/>
    <d v="1997-02-28T00:00:00"/>
    <x v="2"/>
    <n v="8.9320000000000004"/>
    <s v="Germany"/>
  </r>
  <r>
    <n v="10457"/>
    <s v="Königlich Essen"/>
    <s v="Fuller, Andrew"/>
    <d v="1997-02-25T00:00:00"/>
    <d v="1997-03-03T00:00:00"/>
    <x v="1"/>
    <n v="12.727"/>
    <s v="Germany"/>
  </r>
  <r>
    <n v="10458"/>
    <s v="Suprêmes délices"/>
    <s v="King, Robert"/>
    <d v="1997-02-26T00:00:00"/>
    <d v="1997-03-04T00:00:00"/>
    <x v="0"/>
    <n v="161.76599999999999"/>
    <s v="Belgium"/>
  </r>
  <r>
    <n v="10459"/>
    <s v="Victuailles en stock"/>
    <s v="Peacock, Margaret"/>
    <d v="1997-02-27T00:00:00"/>
    <d v="1997-02-28T00:00:00"/>
    <x v="2"/>
    <n v="27.599"/>
    <s v="France"/>
  </r>
  <r>
    <n v="10460"/>
    <s v="Folk och fä HB"/>
    <s v="Callahan, Laura"/>
    <d v="1997-02-28T00:00:00"/>
    <d v="1997-03-03T00:00:00"/>
    <x v="1"/>
    <n v="17.896999999999998"/>
    <s v="Sweden"/>
  </r>
  <r>
    <n v="10461"/>
    <s v="LILA-Supermercado"/>
    <s v="Davolio, Nancy"/>
    <d v="1997-02-28T00:00:00"/>
    <d v="1997-03-05T00:00:00"/>
    <x v="0"/>
    <n v="163.471"/>
    <s v="Venezuela"/>
  </r>
  <r>
    <n v="10462"/>
    <s v="Consolidated Holdings"/>
    <s v="Fuller, Andrew"/>
    <d v="1997-03-03T00:00:00"/>
    <d v="1997-03-18T00:00:00"/>
    <x v="1"/>
    <n v="6.7869999999999999"/>
    <s v="UK"/>
  </r>
  <r>
    <n v="10463"/>
    <s v="Suprêmes délices"/>
    <s v="Buchanan, Steven"/>
    <d v="1997-03-04T00:00:00"/>
    <d v="1997-03-06T00:00:00"/>
    <x v="0"/>
    <n v="16.257999999999999"/>
    <s v="Belgium"/>
  </r>
  <r>
    <n v="10464"/>
    <s v="Furia Bacalhau e Frutos do Mar"/>
    <s v="Peacock, Margaret"/>
    <d v="1997-03-04T00:00:00"/>
    <d v="1997-03-14T00:00:00"/>
    <x v="2"/>
    <n v="97.9"/>
    <s v="Portugal"/>
  </r>
  <r>
    <n v="10465"/>
    <s v="Vaffeljernet"/>
    <s v="Davolio, Nancy"/>
    <d v="1997-03-05T00:00:00"/>
    <d v="1997-03-14T00:00:00"/>
    <x v="0"/>
    <n v="159.54400000000001"/>
    <s v="Denmark"/>
  </r>
  <r>
    <n v="10466"/>
    <s v="Comércio Mineiro"/>
    <s v="Peacock, Margaret"/>
    <d v="1997-03-06T00:00:00"/>
    <d v="1997-03-13T00:00:00"/>
    <x v="1"/>
    <n v="13.122999999999999"/>
    <s v="Brazil"/>
  </r>
  <r>
    <n v="10467"/>
    <s v="Magazzini Alimentari Riuniti"/>
    <s v="Callahan, Laura"/>
    <d v="1997-03-06T00:00:00"/>
    <d v="1997-03-11T00:00:00"/>
    <x v="2"/>
    <n v="5.423"/>
    <s v="Italy"/>
  </r>
  <r>
    <n v="10468"/>
    <s v="Königlich Essen"/>
    <s v="Leverling, Janet"/>
    <d v="1997-03-07T00:00:00"/>
    <d v="1997-03-12T00:00:00"/>
    <x v="0"/>
    <n v="48.531999999999996"/>
    <s v="Germany"/>
  </r>
  <r>
    <n v="10469"/>
    <s v="White Clover Markets"/>
    <s v="Davolio, Nancy"/>
    <d v="1997-03-10T00:00:00"/>
    <d v="1997-03-14T00:00:00"/>
    <x v="1"/>
    <n v="66.197999999999993"/>
    <s v="USA"/>
  </r>
  <r>
    <n v="10470"/>
    <s v="Bon app'"/>
    <s v="Peacock, Margaret"/>
    <d v="1997-03-11T00:00:00"/>
    <d v="1997-03-14T00:00:00"/>
    <x v="2"/>
    <n v="71.016000000000005"/>
    <s v="France"/>
  </r>
  <r>
    <n v="10471"/>
    <s v="B's Beverages"/>
    <s v="Fuller, Andrew"/>
    <d v="1997-03-11T00:00:00"/>
    <d v="1997-03-18T00:00:00"/>
    <x v="0"/>
    <n v="50.149000000000001"/>
    <s v="UK"/>
  </r>
  <r>
    <n v="10472"/>
    <s v="Seven Seas Imports"/>
    <s v="Callahan, Laura"/>
    <d v="1997-03-12T00:00:00"/>
    <d v="1997-03-19T00:00:00"/>
    <x v="1"/>
    <n v="4.62"/>
    <s v="UK"/>
  </r>
  <r>
    <n v="10473"/>
    <s v="Island Trading"/>
    <s v="Davolio, Nancy"/>
    <d v="1997-03-13T00:00:00"/>
    <d v="1997-03-21T00:00:00"/>
    <x v="0"/>
    <n v="18.007000000000001"/>
    <s v="UK"/>
  </r>
  <r>
    <n v="10474"/>
    <s v="Pericles Comidas clásicas"/>
    <s v="Buchanan, Steven"/>
    <d v="1997-03-13T00:00:00"/>
    <d v="1997-03-21T00:00:00"/>
    <x v="2"/>
    <n v="91.838999999999999"/>
    <s v="Mexico"/>
  </r>
  <r>
    <n v="10475"/>
    <s v="Suprêmes délices"/>
    <s v="Dodsworth, Anne"/>
    <d v="1997-03-14T00:00:00"/>
    <d v="1997-04-04T00:00:00"/>
    <x v="1"/>
    <n v="75.372"/>
    <s v="Belgium"/>
  </r>
  <r>
    <n v="10476"/>
    <s v="HILARIÓN-Abastos"/>
    <s v="Callahan, Laura"/>
    <d v="1997-03-17T00:00:00"/>
    <d v="1997-03-24T00:00:00"/>
    <x v="0"/>
    <n v="4.851"/>
    <s v="Venezuela"/>
  </r>
  <r>
    <n v="10477"/>
    <s v="Princesa Isabel Vinhos"/>
    <s v="Buchanan, Steven"/>
    <d v="1997-03-17T00:00:00"/>
    <d v="1997-03-25T00:00:00"/>
    <x v="2"/>
    <n v="14.321999999999999"/>
    <s v="Portugal"/>
  </r>
  <r>
    <n v="10478"/>
    <s v="Victuailles en stock"/>
    <s v="Fuller, Andrew"/>
    <d v="1997-03-18T00:00:00"/>
    <d v="1997-03-26T00:00:00"/>
    <x v="0"/>
    <n v="5.2910000000000004"/>
    <s v="France"/>
  </r>
  <r>
    <n v="10479"/>
    <s v="Rattlesnake Canyon Grocery"/>
    <s v="Leverling, Janet"/>
    <d v="1997-03-19T00:00:00"/>
    <d v="1997-03-21T00:00:00"/>
    <x v="0"/>
    <n v="779.84500000000003"/>
    <s v="USA"/>
  </r>
  <r>
    <n v="10480"/>
    <s v="Folies gourmandes"/>
    <s v="Suyama, Michael"/>
    <d v="1997-03-20T00:00:00"/>
    <d v="1997-03-24T00:00:00"/>
    <x v="2"/>
    <n v="1.4850000000000001"/>
    <s v="France"/>
  </r>
  <r>
    <n v="10481"/>
    <s v="Ricardo Adocicados"/>
    <s v="Callahan, Laura"/>
    <d v="1997-03-20T00:00:00"/>
    <d v="1997-03-25T00:00:00"/>
    <x v="2"/>
    <n v="70.763000000000005"/>
    <s v="Brazil"/>
  </r>
  <r>
    <n v="10482"/>
    <s v="Lazy K Kountry Store"/>
    <s v="Davolio, Nancy"/>
    <d v="1997-03-21T00:00:00"/>
    <d v="1997-04-10T00:00:00"/>
    <x v="0"/>
    <n v="8.2279999999999998"/>
    <s v="USA"/>
  </r>
  <r>
    <n v="10483"/>
    <s v="White Clover Markets"/>
    <s v="King, Robert"/>
    <d v="1997-03-24T00:00:00"/>
    <d v="1997-04-25T00:00:00"/>
    <x v="2"/>
    <n v="16.808"/>
    <s v="USA"/>
  </r>
  <r>
    <n v="10484"/>
    <s v="B's Beverages"/>
    <s v="Leverling, Janet"/>
    <d v="1997-03-24T00:00:00"/>
    <d v="1997-04-01T00:00:00"/>
    <x v="0"/>
    <n v="7.5679999999999996"/>
    <s v="UK"/>
  </r>
  <r>
    <n v="10485"/>
    <s v="LINO-Delicateses"/>
    <s v="Peacock, Margaret"/>
    <d v="1997-03-25T00:00:00"/>
    <d v="1997-03-31T00:00:00"/>
    <x v="2"/>
    <n v="70.894999999999996"/>
    <s v="Venezuela"/>
  </r>
  <r>
    <n v="10486"/>
    <s v="HILARIÓN-Abastos"/>
    <s v="Davolio, Nancy"/>
    <d v="1997-03-26T00:00:00"/>
    <d v="1997-04-02T00:00:00"/>
    <x v="2"/>
    <n v="33.582999999999998"/>
    <s v="Venezuela"/>
  </r>
  <r>
    <n v="10487"/>
    <s v="Queen Cozinha"/>
    <s v="Fuller, Andrew"/>
    <d v="1997-03-26T00:00:00"/>
    <d v="1997-03-28T00:00:00"/>
    <x v="2"/>
    <n v="78.177000000000007"/>
    <s v="Brazil"/>
  </r>
  <r>
    <n v="10488"/>
    <s v="Frankenversand"/>
    <s v="Callahan, Laura"/>
    <d v="1997-03-27T00:00:00"/>
    <d v="1997-04-02T00:00:00"/>
    <x v="2"/>
    <n v="5.423"/>
    <s v="Germany"/>
  </r>
  <r>
    <n v="10489"/>
    <s v="Piccolo und mehr"/>
    <s v="Suyama, Michael"/>
    <d v="1997-03-28T00:00:00"/>
    <d v="1997-04-09T00:00:00"/>
    <x v="2"/>
    <n v="5.819"/>
    <s v="Austria"/>
  </r>
  <r>
    <n v="10490"/>
    <s v="HILARIÓN-Abastos"/>
    <s v="King, Robert"/>
    <d v="1997-03-31T00:00:00"/>
    <d v="1997-04-03T00:00:00"/>
    <x v="2"/>
    <n v="231.209"/>
    <s v="Venezuela"/>
  </r>
  <r>
    <n v="10491"/>
    <s v="Furia Bacalhau e Frutos do Mar"/>
    <s v="Callahan, Laura"/>
    <d v="1997-03-31T00:00:00"/>
    <d v="1997-04-08T00:00:00"/>
    <x v="0"/>
    <n v="18.655999999999999"/>
    <s v="Portugal"/>
  </r>
  <r>
    <n v="10492"/>
    <s v="Bottom-Dollar Markets"/>
    <s v="Leverling, Janet"/>
    <d v="1997-04-01T00:00:00"/>
    <d v="1997-04-11T00:00:00"/>
    <x v="1"/>
    <n v="69.179000000000002"/>
    <s v="Canada"/>
  </r>
  <r>
    <n v="10493"/>
    <s v="La maison d'Asie"/>
    <s v="Peacock, Margaret"/>
    <d v="1997-04-02T00:00:00"/>
    <d v="1997-04-10T00:00:00"/>
    <x v="0"/>
    <n v="11.704000000000001"/>
    <s v="France"/>
  </r>
  <r>
    <n v="10494"/>
    <s v="Comércio Mineiro"/>
    <s v="Peacock, Margaret"/>
    <d v="1997-04-02T00:00:00"/>
    <d v="1997-04-09T00:00:00"/>
    <x v="2"/>
    <n v="72.588999999999999"/>
    <s v="Brazil"/>
  </r>
  <r>
    <n v="10495"/>
    <s v="Laughing Bacchus Wine Cellars"/>
    <s v="Leverling, Janet"/>
    <d v="1997-04-03T00:00:00"/>
    <d v="1997-04-11T00:00:00"/>
    <x v="0"/>
    <n v="5.1150000000000002"/>
    <s v="Canada"/>
  </r>
  <r>
    <n v="10496"/>
    <s v="Tradição Hipermercados"/>
    <s v="King, Robert"/>
    <d v="1997-04-04T00:00:00"/>
    <d v="1997-04-07T00:00:00"/>
    <x v="2"/>
    <n v="51.447000000000003"/>
    <s v="Brazil"/>
  </r>
  <r>
    <n v="10497"/>
    <s v="Lehmanns Marktstand"/>
    <s v="King, Robert"/>
    <d v="1997-04-04T00:00:00"/>
    <d v="1997-04-07T00:00:00"/>
    <x v="1"/>
    <n v="39.831000000000003"/>
    <s v="Germany"/>
  </r>
  <r>
    <n v="10498"/>
    <s v="HILARIÓN-Abastos"/>
    <s v="Callahan, Laura"/>
    <d v="1997-04-07T00:00:00"/>
    <d v="1997-04-11T00:00:00"/>
    <x v="2"/>
    <n v="32.725000000000001"/>
    <s v="Venezuela"/>
  </r>
  <r>
    <n v="10499"/>
    <s v="LILA-Supermercado"/>
    <s v="Peacock, Margaret"/>
    <d v="1997-04-08T00:00:00"/>
    <d v="1997-04-16T00:00:00"/>
    <x v="2"/>
    <n v="112.22199999999999"/>
    <s v="Venezuela"/>
  </r>
  <r>
    <n v="10500"/>
    <s v="La maison d'Asie"/>
    <s v="Suyama, Michael"/>
    <d v="1997-04-09T00:00:00"/>
    <d v="1997-04-17T00:00:00"/>
    <x v="1"/>
    <n v="46.948"/>
    <s v="France"/>
  </r>
  <r>
    <n v="10501"/>
    <s v="Blauer See Delikatessen"/>
    <s v="Dodsworth, Anne"/>
    <d v="1997-04-09T00:00:00"/>
    <d v="1997-04-16T00:00:00"/>
    <x v="0"/>
    <n v="9.7349999999999994"/>
    <s v="Germany"/>
  </r>
  <r>
    <n v="10502"/>
    <s v="Pericles Comidas clásicas"/>
    <s v="Fuller, Andrew"/>
    <d v="1997-04-10T00:00:00"/>
    <d v="1997-04-29T00:00:00"/>
    <x v="1"/>
    <n v="76.251999999999995"/>
    <s v="Mexico"/>
  </r>
  <r>
    <n v="10503"/>
    <s v="Hungry Owl All-Night Grocers"/>
    <s v="Suyama, Michael"/>
    <d v="1997-04-11T00:00:00"/>
    <d v="1997-04-16T00:00:00"/>
    <x v="2"/>
    <n v="18.414000000000001"/>
    <s v="Ireland"/>
  </r>
  <r>
    <n v="10504"/>
    <s v="White Clover Markets"/>
    <s v="Peacock, Margaret"/>
    <d v="1997-04-11T00:00:00"/>
    <d v="1997-04-18T00:00:00"/>
    <x v="0"/>
    <n v="65.043000000000006"/>
    <s v="USA"/>
  </r>
  <r>
    <n v="10505"/>
    <s v="Mère Paillarde"/>
    <s v="Leverling, Janet"/>
    <d v="1997-04-14T00:00:00"/>
    <d v="1997-04-21T00:00:00"/>
    <x v="0"/>
    <n v="7.843"/>
    <s v="Canada"/>
  </r>
  <r>
    <n v="10506"/>
    <s v="Königlich Essen"/>
    <s v="Dodsworth, Anne"/>
    <d v="1997-04-15T00:00:00"/>
    <d v="1997-05-02T00:00:00"/>
    <x v="2"/>
    <n v="23.309000000000001"/>
    <s v="Germany"/>
  </r>
  <r>
    <n v="10507"/>
    <s v="Antonio Moreno Taquería"/>
    <s v="King, Robert"/>
    <d v="1997-04-15T00:00:00"/>
    <d v="1997-04-22T00:00:00"/>
    <x v="1"/>
    <n v="52.195"/>
    <s v="Mexico"/>
  </r>
  <r>
    <n v="10508"/>
    <s v="Ottilies Käseladen"/>
    <s v="Davolio, Nancy"/>
    <d v="1997-04-16T00:00:00"/>
    <d v="1997-05-13T00:00:00"/>
    <x v="2"/>
    <n v="5.4889999999999999"/>
    <s v="Germany"/>
  </r>
  <r>
    <n v="10509"/>
    <s v="Blauer See Delikatessen"/>
    <s v="Peacock, Margaret"/>
    <d v="1997-04-17T00:00:00"/>
    <d v="1997-04-29T00:00:00"/>
    <x v="1"/>
    <n v="0.16500000000000001"/>
    <s v="Germany"/>
  </r>
  <r>
    <n v="10510"/>
    <s v="Save-a-lot Markets"/>
    <s v="Suyama, Michael"/>
    <d v="1997-04-18T00:00:00"/>
    <d v="1997-04-28T00:00:00"/>
    <x v="0"/>
    <n v="404.39299999999997"/>
    <s v="USA"/>
  </r>
  <r>
    <n v="10511"/>
    <s v="Bon app'"/>
    <s v="Peacock, Margaret"/>
    <d v="1997-04-18T00:00:00"/>
    <d v="1997-04-21T00:00:00"/>
    <x v="0"/>
    <n v="385.70400000000001"/>
    <s v="France"/>
  </r>
  <r>
    <n v="10512"/>
    <s v="Familia Arquibaldo"/>
    <s v="King, Robert"/>
    <d v="1997-04-21T00:00:00"/>
    <d v="1997-04-24T00:00:00"/>
    <x v="2"/>
    <n v="3.883"/>
    <s v="Brazil"/>
  </r>
  <r>
    <n v="10513"/>
    <s v="Die Wandernde Kuh"/>
    <s v="King, Robert"/>
    <d v="1997-04-22T00:00:00"/>
    <d v="1997-04-28T00:00:00"/>
    <x v="1"/>
    <n v="116.215"/>
    <s v="Germany"/>
  </r>
  <r>
    <n v="10514"/>
    <s v="Ernst Handel"/>
    <s v="Leverling, Janet"/>
    <d v="1997-04-22T00:00:00"/>
    <d v="1997-05-16T00:00:00"/>
    <x v="2"/>
    <n v="868.94500000000005"/>
    <s v="Austria"/>
  </r>
  <r>
    <n v="10515"/>
    <s v="QUICK-Stop"/>
    <s v="Fuller, Andrew"/>
    <d v="1997-04-23T00:00:00"/>
    <d v="1997-05-23T00:00:00"/>
    <x v="1"/>
    <n v="224.917"/>
    <s v="Germany"/>
  </r>
  <r>
    <n v="10516"/>
    <s v="Hungry Owl All-Night Grocers"/>
    <s v="Fuller, Andrew"/>
    <d v="1997-04-24T00:00:00"/>
    <d v="1997-05-01T00:00:00"/>
    <x v="0"/>
    <n v="69.058000000000007"/>
    <s v="Ireland"/>
  </r>
  <r>
    <n v="10517"/>
    <s v="North/South"/>
    <s v="Leverling, Janet"/>
    <d v="1997-04-24T00:00:00"/>
    <d v="1997-04-29T00:00:00"/>
    <x v="0"/>
    <n v="35.277000000000001"/>
    <s v="UK"/>
  </r>
  <r>
    <n v="10518"/>
    <s v="Tortuga Restaurante"/>
    <s v="Peacock, Margaret"/>
    <d v="1997-04-25T00:00:00"/>
    <d v="1997-05-05T00:00:00"/>
    <x v="2"/>
    <n v="239.965"/>
    <s v="Mexico"/>
  </r>
  <r>
    <n v="10519"/>
    <s v="Chop-suey Chinese"/>
    <s v="Suyama, Michael"/>
    <d v="1997-04-28T00:00:00"/>
    <d v="1997-05-01T00:00:00"/>
    <x v="0"/>
    <n v="100.93600000000001"/>
    <s v="Switzerland"/>
  </r>
  <r>
    <n v="10520"/>
    <s v="Santé Gourmet"/>
    <s v="King, Robert"/>
    <d v="1997-04-29T00:00:00"/>
    <d v="1997-05-01T00:00:00"/>
    <x v="1"/>
    <n v="14.707000000000001"/>
    <s v="Norway"/>
  </r>
  <r>
    <n v="10521"/>
    <s v="Cactus Comidas para llevar"/>
    <s v="Callahan, Laura"/>
    <d v="1997-04-29T00:00:00"/>
    <d v="1997-05-02T00:00:00"/>
    <x v="2"/>
    <n v="18.942"/>
    <s v="Argentina"/>
  </r>
  <r>
    <n v="10522"/>
    <s v="Lehmanns Marktstand"/>
    <s v="Peacock, Margaret"/>
    <d v="1997-04-30T00:00:00"/>
    <d v="1997-05-06T00:00:00"/>
    <x v="1"/>
    <n v="49.863"/>
    <s v="Germany"/>
  </r>
  <r>
    <n v="10523"/>
    <s v="Seven Seas Imports"/>
    <s v="King, Robert"/>
    <d v="1997-05-01T00:00:00"/>
    <d v="1997-05-30T00:00:00"/>
    <x v="2"/>
    <n v="85.393000000000001"/>
    <s v="UK"/>
  </r>
  <r>
    <n v="10524"/>
    <s v="Berglunds snabbköp"/>
    <s v="Davolio, Nancy"/>
    <d v="1997-05-01T00:00:00"/>
    <d v="1997-05-07T00:00:00"/>
    <x v="2"/>
    <n v="269.26900000000001"/>
    <s v="Sweden"/>
  </r>
  <r>
    <n v="10525"/>
    <s v="Bon app'"/>
    <s v="Davolio, Nancy"/>
    <d v="1997-05-02T00:00:00"/>
    <d v="1997-05-23T00:00:00"/>
    <x v="2"/>
    <n v="12.166"/>
    <s v="France"/>
  </r>
  <r>
    <n v="10526"/>
    <s v="Wartian Herkku"/>
    <s v="Peacock, Margaret"/>
    <d v="1997-05-05T00:00:00"/>
    <d v="1997-05-15T00:00:00"/>
    <x v="2"/>
    <n v="64.448999999999998"/>
    <s v="Finland"/>
  </r>
  <r>
    <n v="10527"/>
    <s v="QUICK-Stop"/>
    <s v="King, Robert"/>
    <d v="1997-05-05T00:00:00"/>
    <d v="1997-05-07T00:00:00"/>
    <x v="1"/>
    <n v="46.09"/>
    <s v="Germany"/>
  </r>
  <r>
    <n v="10528"/>
    <s v="Great Lakes Food Market"/>
    <s v="Suyama, Michael"/>
    <d v="1997-05-06T00:00:00"/>
    <d v="1997-05-09T00:00:00"/>
    <x v="2"/>
    <n v="3.6850000000000001"/>
    <s v="USA"/>
  </r>
  <r>
    <n v="10529"/>
    <s v="Maison Dewey"/>
    <s v="Buchanan, Steven"/>
    <d v="1997-05-07T00:00:00"/>
    <d v="1997-05-09T00:00:00"/>
    <x v="2"/>
    <n v="73.358999999999995"/>
    <s v="Belgium"/>
  </r>
  <r>
    <n v="10530"/>
    <s v="Piccolo und mehr"/>
    <s v="Leverling, Janet"/>
    <d v="1997-05-08T00:00:00"/>
    <d v="1997-05-12T00:00:00"/>
    <x v="2"/>
    <n v="373.142"/>
    <s v="Austria"/>
  </r>
  <r>
    <n v="10531"/>
    <s v="Océano Atlántico Ltda."/>
    <s v="King, Robert"/>
    <d v="1997-05-08T00:00:00"/>
    <d v="1997-05-19T00:00:00"/>
    <x v="1"/>
    <n v="8.9320000000000004"/>
    <s v="Argentina"/>
  </r>
  <r>
    <n v="10532"/>
    <s v="Eastern Connection"/>
    <s v="King, Robert"/>
    <d v="1997-05-09T00:00:00"/>
    <d v="1997-05-12T00:00:00"/>
    <x v="0"/>
    <n v="81.906000000000006"/>
    <s v="UK"/>
  </r>
  <r>
    <n v="10533"/>
    <s v="Folk och fä HB"/>
    <s v="Callahan, Laura"/>
    <d v="1997-05-12T00:00:00"/>
    <d v="1997-05-22T00:00:00"/>
    <x v="1"/>
    <n v="206.84399999999999"/>
    <s v="Sweden"/>
  </r>
  <r>
    <n v="10534"/>
    <s v="Lehmanns Marktstand"/>
    <s v="Callahan, Laura"/>
    <d v="1997-05-12T00:00:00"/>
    <d v="1997-05-14T00:00:00"/>
    <x v="2"/>
    <n v="30.734000000000002"/>
    <s v="Germany"/>
  </r>
  <r>
    <n v="10535"/>
    <s v="Antonio Moreno Taquería"/>
    <s v="Peacock, Margaret"/>
    <d v="1997-05-13T00:00:00"/>
    <d v="1997-05-21T00:00:00"/>
    <x v="1"/>
    <n v="17.204000000000001"/>
    <s v="Mexico"/>
  </r>
  <r>
    <n v="10536"/>
    <s v="Lehmanns Marktstand"/>
    <s v="Leverling, Janet"/>
    <d v="1997-05-14T00:00:00"/>
    <d v="1997-06-06T00:00:00"/>
    <x v="2"/>
    <n v="64.768000000000001"/>
    <s v="Germany"/>
  </r>
  <r>
    <n v="10537"/>
    <s v="Richter Supermarkt"/>
    <s v="Davolio, Nancy"/>
    <d v="1997-05-14T00:00:00"/>
    <d v="1997-05-19T00:00:00"/>
    <x v="1"/>
    <n v="86.734999999999999"/>
    <s v="Switzerland"/>
  </r>
  <r>
    <n v="10538"/>
    <s v="B's Beverages"/>
    <s v="Dodsworth, Anne"/>
    <d v="1997-05-15T00:00:00"/>
    <d v="1997-05-16T00:00:00"/>
    <x v="0"/>
    <n v="5.3570000000000002"/>
    <s v="UK"/>
  </r>
  <r>
    <n v="10539"/>
    <s v="B's Beverages"/>
    <s v="Suyama, Michael"/>
    <d v="1997-05-16T00:00:00"/>
    <d v="1997-05-23T00:00:00"/>
    <x v="0"/>
    <n v="13.596"/>
    <s v="UK"/>
  </r>
  <r>
    <n v="10540"/>
    <s v="QUICK-Stop"/>
    <s v="Leverling, Janet"/>
    <d v="1997-05-19T00:00:00"/>
    <d v="1997-06-13T00:00:00"/>
    <x v="0"/>
    <n v="1108.404"/>
    <s v="Germany"/>
  </r>
  <r>
    <n v="10541"/>
    <s v="Hanari Carnes"/>
    <s v="Fuller, Andrew"/>
    <d v="1997-05-19T00:00:00"/>
    <d v="1997-05-29T00:00:00"/>
    <x v="1"/>
    <n v="75.515000000000001"/>
    <s v="Brazil"/>
  </r>
  <r>
    <n v="10542"/>
    <s v="Königlich Essen"/>
    <s v="Davolio, Nancy"/>
    <d v="1997-05-20T00:00:00"/>
    <d v="1997-05-26T00:00:00"/>
    <x v="0"/>
    <n v="12.045"/>
    <s v="Germany"/>
  </r>
  <r>
    <n v="10543"/>
    <s v="LILA-Supermercado"/>
    <s v="Callahan, Laura"/>
    <d v="1997-05-21T00:00:00"/>
    <d v="1997-05-23T00:00:00"/>
    <x v="2"/>
    <n v="52.987000000000002"/>
    <s v="Venezuela"/>
  </r>
  <r>
    <n v="10544"/>
    <s v="Lonesome Pine Restaurant"/>
    <s v="Peacock, Margaret"/>
    <d v="1997-05-21T00:00:00"/>
    <d v="1997-05-30T00:00:00"/>
    <x v="1"/>
    <n v="27.401"/>
    <s v="USA"/>
  </r>
  <r>
    <n v="10545"/>
    <s v="Lazy K Kountry Store"/>
    <s v="Callahan, Laura"/>
    <d v="1997-05-22T00:00:00"/>
    <d v="1997-06-26T00:00:00"/>
    <x v="2"/>
    <n v="13.112"/>
    <s v="USA"/>
  </r>
  <r>
    <n v="10546"/>
    <s v="Victuailles en stock"/>
    <s v="Davolio, Nancy"/>
    <d v="1997-05-23T00:00:00"/>
    <d v="1997-05-27T00:00:00"/>
    <x v="0"/>
    <n v="214.19200000000001"/>
    <s v="France"/>
  </r>
  <r>
    <n v="10547"/>
    <s v="Seven Seas Imports"/>
    <s v="Leverling, Janet"/>
    <d v="1997-05-23T00:00:00"/>
    <d v="1997-06-02T00:00:00"/>
    <x v="2"/>
    <n v="196.273"/>
    <s v="UK"/>
  </r>
  <r>
    <n v="10548"/>
    <s v="Toms Spezialitäten"/>
    <s v="Leverling, Janet"/>
    <d v="1997-05-26T00:00:00"/>
    <d v="1997-06-02T00:00:00"/>
    <x v="2"/>
    <n v="1.573"/>
    <s v="Germany"/>
  </r>
  <r>
    <n v="10549"/>
    <s v="QUICK-Stop"/>
    <s v="Buchanan, Steven"/>
    <d v="1997-05-27T00:00:00"/>
    <d v="1997-05-30T00:00:00"/>
    <x v="1"/>
    <n v="188.364"/>
    <s v="Germany"/>
  </r>
  <r>
    <n v="10550"/>
    <s v="Godos Cocina Típica"/>
    <s v="King, Robert"/>
    <d v="1997-05-28T00:00:00"/>
    <d v="1997-06-06T00:00:00"/>
    <x v="0"/>
    <n v="4.7519999999999998"/>
    <s v="Spain"/>
  </r>
  <r>
    <n v="10551"/>
    <s v="Furia Bacalhau e Frutos do Mar"/>
    <s v="Peacock, Margaret"/>
    <d v="1997-05-28T00:00:00"/>
    <d v="1997-06-06T00:00:00"/>
    <x v="0"/>
    <n v="80.245000000000005"/>
    <s v="Portugal"/>
  </r>
  <r>
    <n v="10552"/>
    <s v="HILARIÓN-Abastos"/>
    <s v="Fuller, Andrew"/>
    <d v="1997-05-29T00:00:00"/>
    <d v="1997-06-05T00:00:00"/>
    <x v="1"/>
    <n v="91.542000000000002"/>
    <s v="Venezuela"/>
  </r>
  <r>
    <n v="10553"/>
    <s v="Wartian Herkku"/>
    <s v="Fuller, Andrew"/>
    <d v="1997-05-30T00:00:00"/>
    <d v="1997-06-03T00:00:00"/>
    <x v="2"/>
    <n v="164.43899999999999"/>
    <s v="Finland"/>
  </r>
  <r>
    <n v="10554"/>
    <s v="Ottilies Käseladen"/>
    <s v="Peacock, Margaret"/>
    <d v="1997-05-30T00:00:00"/>
    <d v="1997-06-05T00:00:00"/>
    <x v="0"/>
    <n v="133.06700000000001"/>
    <s v="Germany"/>
  </r>
  <r>
    <n v="10555"/>
    <s v="Save-a-lot Markets"/>
    <s v="Suyama, Michael"/>
    <d v="1997-06-02T00:00:00"/>
    <d v="1997-06-04T00:00:00"/>
    <x v="0"/>
    <n v="277.73899999999998"/>
    <s v="USA"/>
  </r>
  <r>
    <n v="10556"/>
    <s v="Simons bistro"/>
    <s v="Fuller, Andrew"/>
    <d v="1997-06-03T00:00:00"/>
    <d v="1997-06-13T00:00:00"/>
    <x v="1"/>
    <n v="10.78"/>
    <s v="Denmark"/>
  </r>
  <r>
    <n v="10557"/>
    <s v="Lehmanns Marktstand"/>
    <s v="Dodsworth, Anne"/>
    <d v="1997-06-03T00:00:00"/>
    <d v="1997-06-06T00:00:00"/>
    <x v="2"/>
    <n v="106.392"/>
    <s v="Germany"/>
  </r>
  <r>
    <n v="10558"/>
    <s v="Around the Horn"/>
    <s v="Davolio, Nancy"/>
    <d v="1997-06-04T00:00:00"/>
    <d v="1997-06-10T00:00:00"/>
    <x v="2"/>
    <n v="80.266999999999996"/>
    <s v="UK"/>
  </r>
  <r>
    <n v="10559"/>
    <s v="Blondel père et fils"/>
    <s v="Suyama, Michael"/>
    <d v="1997-06-05T00:00:00"/>
    <d v="1997-06-13T00:00:00"/>
    <x v="1"/>
    <n v="8.8550000000000004"/>
    <s v="France"/>
  </r>
  <r>
    <n v="10560"/>
    <s v="Frankenversand"/>
    <s v="Callahan, Laura"/>
    <d v="1997-06-06T00:00:00"/>
    <d v="1997-06-09T00:00:00"/>
    <x v="1"/>
    <n v="40.314999999999998"/>
    <s v="Germany"/>
  </r>
  <r>
    <n v="10561"/>
    <s v="Folk och fä HB"/>
    <s v="Fuller, Andrew"/>
    <d v="1997-06-06T00:00:00"/>
    <d v="1997-06-09T00:00:00"/>
    <x v="2"/>
    <n v="266.43099999999998"/>
    <s v="Sweden"/>
  </r>
  <r>
    <n v="10562"/>
    <s v="Reggiani Caseifici"/>
    <s v="Davolio, Nancy"/>
    <d v="1997-06-09T00:00:00"/>
    <d v="1997-06-12T00:00:00"/>
    <x v="1"/>
    <n v="25.245000000000001"/>
    <s v="Italy"/>
  </r>
  <r>
    <n v="10563"/>
    <s v="Ricardo Adocicados"/>
    <s v="Fuller, Andrew"/>
    <d v="1997-06-10T00:00:00"/>
    <d v="1997-06-24T00:00:00"/>
    <x v="2"/>
    <n v="66.472999999999999"/>
    <s v="Brazil"/>
  </r>
  <r>
    <n v="10564"/>
    <s v="Rattlesnake Canyon Grocery"/>
    <s v="Peacock, Margaret"/>
    <d v="1997-06-10T00:00:00"/>
    <d v="1997-06-16T00:00:00"/>
    <x v="0"/>
    <n v="15.125"/>
    <s v="USA"/>
  </r>
  <r>
    <n v="10565"/>
    <s v="Mère Paillarde"/>
    <s v="Callahan, Laura"/>
    <d v="1997-06-11T00:00:00"/>
    <d v="1997-06-18T00:00:00"/>
    <x v="2"/>
    <n v="7.8650000000000002"/>
    <s v="Canada"/>
  </r>
  <r>
    <n v="10566"/>
    <s v="Blondel père et fils"/>
    <s v="Dodsworth, Anne"/>
    <d v="1997-06-12T00:00:00"/>
    <d v="1997-06-18T00:00:00"/>
    <x v="1"/>
    <n v="97.24"/>
    <s v="France"/>
  </r>
  <r>
    <n v="10567"/>
    <s v="Hungry Owl All-Night Grocers"/>
    <s v="Davolio, Nancy"/>
    <d v="1997-06-12T00:00:00"/>
    <d v="1997-06-17T00:00:00"/>
    <x v="1"/>
    <n v="37.366999999999997"/>
    <s v="Ireland"/>
  </r>
  <r>
    <n v="10568"/>
    <s v="Galería del gastrónomo"/>
    <s v="Leverling, Janet"/>
    <d v="1997-06-13T00:00:00"/>
    <d v="1997-07-09T00:00:00"/>
    <x v="0"/>
    <n v="7.194"/>
    <s v="Spain"/>
  </r>
  <r>
    <n v="10569"/>
    <s v="Rattlesnake Canyon Grocery"/>
    <s v="Buchanan, Steven"/>
    <d v="1997-06-16T00:00:00"/>
    <d v="1997-07-11T00:00:00"/>
    <x v="1"/>
    <n v="64.878"/>
    <s v="USA"/>
  </r>
  <r>
    <n v="10570"/>
    <s v="Mère Paillarde"/>
    <s v="Leverling, Janet"/>
    <d v="1997-06-17T00:00:00"/>
    <d v="1997-06-19T00:00:00"/>
    <x v="0"/>
    <n v="207.88900000000001"/>
    <s v="Canada"/>
  </r>
  <r>
    <n v="10571"/>
    <s v="Ernst Handel"/>
    <s v="Callahan, Laura"/>
    <d v="1997-06-17T00:00:00"/>
    <d v="1997-07-04T00:00:00"/>
    <x v="0"/>
    <n v="28.666"/>
    <s v="Austria"/>
  </r>
  <r>
    <n v="10572"/>
    <s v="Berglunds snabbköp"/>
    <s v="Leverling, Janet"/>
    <d v="1997-06-18T00:00:00"/>
    <d v="1997-06-25T00:00:00"/>
    <x v="2"/>
    <n v="128.07300000000001"/>
    <s v="Sweden"/>
  </r>
  <r>
    <n v="10573"/>
    <s v="Antonio Moreno Taquería"/>
    <s v="King, Robert"/>
    <d v="1997-06-19T00:00:00"/>
    <d v="1997-06-20T00:00:00"/>
    <x v="0"/>
    <n v="93.323999999999998"/>
    <s v="Mexico"/>
  </r>
  <r>
    <n v="10574"/>
    <s v="Trail's Head Gourmet Provisioners"/>
    <s v="Peacock, Margaret"/>
    <d v="1997-06-19T00:00:00"/>
    <d v="1997-06-30T00:00:00"/>
    <x v="2"/>
    <n v="41.36"/>
    <s v="USA"/>
  </r>
  <r>
    <n v="10575"/>
    <s v="Morgenstern Gesundkost"/>
    <s v="Buchanan, Steven"/>
    <d v="1997-06-20T00:00:00"/>
    <d v="1997-06-30T00:00:00"/>
    <x v="1"/>
    <n v="140.07400000000001"/>
    <s v="Germany"/>
  </r>
  <r>
    <n v="10576"/>
    <s v="Tortuga Restaurante"/>
    <s v="Leverling, Janet"/>
    <d v="1997-06-23T00:00:00"/>
    <d v="1997-06-30T00:00:00"/>
    <x v="0"/>
    <n v="20.416"/>
    <s v="Mexico"/>
  </r>
  <r>
    <n v="10577"/>
    <s v="Trail's Head Gourmet Provisioners"/>
    <s v="Dodsworth, Anne"/>
    <d v="1997-06-23T00:00:00"/>
    <d v="1997-06-30T00:00:00"/>
    <x v="2"/>
    <n v="27.951000000000001"/>
    <s v="USA"/>
  </r>
  <r>
    <n v="10578"/>
    <s v="B's Beverages"/>
    <s v="Peacock, Margaret"/>
    <d v="1997-06-24T00:00:00"/>
    <d v="1997-07-25T00:00:00"/>
    <x v="0"/>
    <n v="32.56"/>
    <s v="UK"/>
  </r>
  <r>
    <n v="10579"/>
    <s v="Let's Stop N Shop"/>
    <s v="Davolio, Nancy"/>
    <d v="1997-06-25T00:00:00"/>
    <d v="1997-07-04T00:00:00"/>
    <x v="2"/>
    <n v="15.103"/>
    <s v="USA"/>
  </r>
  <r>
    <n v="10580"/>
    <s v="Ottilies Käseladen"/>
    <s v="Peacock, Margaret"/>
    <d v="1997-06-26T00:00:00"/>
    <d v="1997-07-01T00:00:00"/>
    <x v="0"/>
    <n v="83.478999999999999"/>
    <s v="Germany"/>
  </r>
  <r>
    <n v="10581"/>
    <s v="Familia Arquibaldo"/>
    <s v="Leverling, Janet"/>
    <d v="1997-06-26T00:00:00"/>
    <d v="1997-07-02T00:00:00"/>
    <x v="1"/>
    <n v="3.3109999999999999"/>
    <s v="Brazil"/>
  </r>
  <r>
    <n v="10582"/>
    <s v="Blauer See Delikatessen"/>
    <s v="Leverling, Janet"/>
    <d v="1997-06-27T00:00:00"/>
    <d v="1997-07-14T00:00:00"/>
    <x v="2"/>
    <n v="30.481000000000002"/>
    <s v="Germany"/>
  </r>
  <r>
    <n v="10583"/>
    <s v="Wartian Herkku"/>
    <s v="Fuller, Andrew"/>
    <d v="1997-06-30T00:00:00"/>
    <d v="1997-07-04T00:00:00"/>
    <x v="2"/>
    <n v="8.0079999999999991"/>
    <s v="Finland"/>
  </r>
  <r>
    <n v="10584"/>
    <s v="Blondel père et fils"/>
    <s v="Peacock, Margaret"/>
    <d v="1997-06-30T00:00:00"/>
    <d v="1997-07-04T00:00:00"/>
    <x v="1"/>
    <n v="65.054000000000002"/>
    <s v="France"/>
  </r>
  <r>
    <n v="10585"/>
    <s v="Wellington Importadora"/>
    <s v="King, Robert"/>
    <d v="1997-07-01T00:00:00"/>
    <d v="1997-07-10T00:00:00"/>
    <x v="1"/>
    <n v="14.750999999999999"/>
    <s v="Brazil"/>
  </r>
  <r>
    <n v="10586"/>
    <s v="Reggiani Caseifici"/>
    <s v="Dodsworth, Anne"/>
    <d v="1997-07-02T00:00:00"/>
    <d v="1997-07-09T00:00:00"/>
    <x v="1"/>
    <n v="0.52800000000000002"/>
    <s v="Italy"/>
  </r>
  <r>
    <n v="10587"/>
    <s v="Que Delícia"/>
    <s v="Davolio, Nancy"/>
    <d v="1997-07-02T00:00:00"/>
    <d v="1997-07-09T00:00:00"/>
    <x v="1"/>
    <n v="68.772000000000006"/>
    <s v="Brazil"/>
  </r>
  <r>
    <n v="10588"/>
    <s v="QUICK-Stop"/>
    <s v="Fuller, Andrew"/>
    <d v="1997-07-03T00:00:00"/>
    <d v="1997-07-10T00:00:00"/>
    <x v="0"/>
    <n v="214.137"/>
    <s v="Germany"/>
  </r>
  <r>
    <n v="10589"/>
    <s v="Great Lakes Food Market"/>
    <s v="Callahan, Laura"/>
    <d v="1997-07-04T00:00:00"/>
    <d v="1997-07-14T00:00:00"/>
    <x v="2"/>
    <n v="4.8620000000000001"/>
    <s v="USA"/>
  </r>
  <r>
    <n v="10590"/>
    <s v="Mère Paillarde"/>
    <s v="Peacock, Margaret"/>
    <d v="1997-07-07T00:00:00"/>
    <d v="1997-07-14T00:00:00"/>
    <x v="0"/>
    <n v="49.247"/>
    <s v="Canada"/>
  </r>
  <r>
    <n v="10591"/>
    <s v="Vaffeljernet"/>
    <s v="Davolio, Nancy"/>
    <d v="1997-07-07T00:00:00"/>
    <d v="1997-07-16T00:00:00"/>
    <x v="1"/>
    <n v="61.512"/>
    <s v="Denmark"/>
  </r>
  <r>
    <n v="10592"/>
    <s v="Lehmanns Marktstand"/>
    <s v="Leverling, Janet"/>
    <d v="1997-07-08T00:00:00"/>
    <d v="1997-07-16T00:00:00"/>
    <x v="1"/>
    <n v="35.31"/>
    <s v="Germany"/>
  </r>
  <r>
    <n v="10593"/>
    <s v="Lehmanns Marktstand"/>
    <s v="King, Robert"/>
    <d v="1997-07-09T00:00:00"/>
    <d v="1997-08-13T00:00:00"/>
    <x v="2"/>
    <n v="191.62"/>
    <s v="Germany"/>
  </r>
  <r>
    <n v="10594"/>
    <s v="Old World Delicatessen"/>
    <s v="Leverling, Janet"/>
    <d v="1997-07-09T00:00:00"/>
    <d v="1997-07-16T00:00:00"/>
    <x v="2"/>
    <n v="5.7640000000000002"/>
    <s v="USA"/>
  </r>
  <r>
    <n v="10595"/>
    <s v="Ernst Handel"/>
    <s v="Fuller, Andrew"/>
    <d v="1997-07-10T00:00:00"/>
    <d v="1997-07-14T00:00:00"/>
    <x v="1"/>
    <n v="106.458"/>
    <s v="Austria"/>
  </r>
  <r>
    <n v="10596"/>
    <s v="White Clover Markets"/>
    <s v="Callahan, Laura"/>
    <d v="1997-07-11T00:00:00"/>
    <d v="1997-08-12T00:00:00"/>
    <x v="1"/>
    <n v="17.974"/>
    <s v="USA"/>
  </r>
  <r>
    <n v="10597"/>
    <s v="Piccolo und mehr"/>
    <s v="King, Robert"/>
    <d v="1997-07-11T00:00:00"/>
    <d v="1997-07-18T00:00:00"/>
    <x v="0"/>
    <n v="38.631999999999998"/>
    <s v="Austria"/>
  </r>
  <r>
    <n v="10598"/>
    <s v="Rattlesnake Canyon Grocery"/>
    <s v="Davolio, Nancy"/>
    <d v="1997-07-14T00:00:00"/>
    <d v="1997-07-18T00:00:00"/>
    <x v="0"/>
    <n v="48.862000000000002"/>
    <s v="USA"/>
  </r>
  <r>
    <n v="10599"/>
    <s v="B's Beverages"/>
    <s v="Suyama, Michael"/>
    <d v="1997-07-15T00:00:00"/>
    <d v="1997-07-21T00:00:00"/>
    <x v="0"/>
    <n v="32.978000000000002"/>
    <s v="UK"/>
  </r>
  <r>
    <n v="10600"/>
    <s v="Hungry Coyote Import Store"/>
    <s v="Peacock, Margaret"/>
    <d v="1997-07-16T00:00:00"/>
    <d v="1997-07-21T00:00:00"/>
    <x v="1"/>
    <n v="49.643000000000001"/>
    <s v="USA"/>
  </r>
  <r>
    <n v="10601"/>
    <s v="HILARIÓN-Abastos"/>
    <s v="King, Robert"/>
    <d v="1997-07-16T00:00:00"/>
    <d v="1997-07-22T00:00:00"/>
    <x v="1"/>
    <n v="64.13"/>
    <s v="Venezuela"/>
  </r>
  <r>
    <n v="10602"/>
    <s v="Vaffeljernet"/>
    <s v="Callahan, Laura"/>
    <d v="1997-07-17T00:00:00"/>
    <d v="1997-07-22T00:00:00"/>
    <x v="2"/>
    <n v="3.2120000000000002"/>
    <s v="Denmark"/>
  </r>
  <r>
    <n v="10603"/>
    <s v="Save-a-lot Markets"/>
    <s v="Callahan, Laura"/>
    <d v="1997-07-18T00:00:00"/>
    <d v="1997-08-08T00:00:00"/>
    <x v="2"/>
    <n v="53.646999999999998"/>
    <s v="USA"/>
  </r>
  <r>
    <n v="10604"/>
    <s v="Furia Bacalhau e Frutos do Mar"/>
    <s v="Davolio, Nancy"/>
    <d v="1997-07-18T00:00:00"/>
    <d v="1997-07-29T00:00:00"/>
    <x v="1"/>
    <n v="8.2059999999999995"/>
    <s v="Portugal"/>
  </r>
  <r>
    <n v="10605"/>
    <s v="Mère Paillarde"/>
    <s v="Davolio, Nancy"/>
    <d v="1997-07-21T00:00:00"/>
    <d v="1997-07-29T00:00:00"/>
    <x v="2"/>
    <n v="417.04300000000001"/>
    <s v="Canada"/>
  </r>
  <r>
    <n v="10606"/>
    <s v="Tradição Hipermercados"/>
    <s v="Peacock, Margaret"/>
    <d v="1997-07-22T00:00:00"/>
    <d v="1997-07-31T00:00:00"/>
    <x v="0"/>
    <n v="87.34"/>
    <s v="Brazil"/>
  </r>
  <r>
    <n v="10607"/>
    <s v="Save-a-lot Markets"/>
    <s v="Buchanan, Steven"/>
    <d v="1997-07-22T00:00:00"/>
    <d v="1997-07-25T00:00:00"/>
    <x v="1"/>
    <n v="220.26400000000001"/>
    <s v="USA"/>
  </r>
  <r>
    <n v="10608"/>
    <s v="Toms Spezialitäten"/>
    <s v="Peacock, Margaret"/>
    <d v="1997-07-23T00:00:00"/>
    <d v="1997-08-01T00:00:00"/>
    <x v="2"/>
    <n v="30.568999999999999"/>
    <s v="Germany"/>
  </r>
  <r>
    <n v="10609"/>
    <s v="Du monde entier"/>
    <s v="King, Robert"/>
    <d v="1997-07-24T00:00:00"/>
    <d v="1997-07-30T00:00:00"/>
    <x v="2"/>
    <n v="2.0350000000000001"/>
    <s v="France"/>
  </r>
  <r>
    <n v="10610"/>
    <s v="La maison d'Asie"/>
    <s v="Callahan, Laura"/>
    <d v="1997-07-25T00:00:00"/>
    <d v="1997-08-06T00:00:00"/>
    <x v="1"/>
    <n v="29.457999999999998"/>
    <s v="France"/>
  </r>
  <r>
    <n v="10611"/>
    <s v="Wolski  Zajazd"/>
    <s v="Suyama, Michael"/>
    <d v="1997-07-25T00:00:00"/>
    <d v="1997-08-01T00:00:00"/>
    <x v="2"/>
    <n v="88.715000000000003"/>
    <s v="Poland"/>
  </r>
  <r>
    <n v="10612"/>
    <s v="Save-a-lot Markets"/>
    <s v="Davolio, Nancy"/>
    <d v="1997-07-28T00:00:00"/>
    <d v="1997-08-01T00:00:00"/>
    <x v="2"/>
    <n v="598.48800000000006"/>
    <s v="USA"/>
  </r>
  <r>
    <n v="10613"/>
    <s v="HILARIÓN-Abastos"/>
    <s v="Peacock, Margaret"/>
    <d v="1997-07-29T00:00:00"/>
    <d v="1997-08-01T00:00:00"/>
    <x v="2"/>
    <n v="8.9209999999999994"/>
    <s v="Venezuela"/>
  </r>
  <r>
    <n v="10614"/>
    <s v="Blauer See Delikatessen"/>
    <s v="Callahan, Laura"/>
    <d v="1997-07-29T00:00:00"/>
    <d v="1997-08-01T00:00:00"/>
    <x v="0"/>
    <n v="2.1230000000000002"/>
    <s v="Germany"/>
  </r>
  <r>
    <n v="10615"/>
    <s v="Wilman Kala"/>
    <s v="Fuller, Andrew"/>
    <d v="1997-07-30T00:00:00"/>
    <d v="1997-08-06T00:00:00"/>
    <x v="0"/>
    <n v="0.82499999999999996"/>
    <s v="Finland"/>
  </r>
  <r>
    <n v="10616"/>
    <s v="Great Lakes Food Market"/>
    <s v="Davolio, Nancy"/>
    <d v="1997-07-31T00:00:00"/>
    <d v="1997-08-05T00:00:00"/>
    <x v="2"/>
    <n v="128.18299999999999"/>
    <s v="USA"/>
  </r>
  <r>
    <n v="10617"/>
    <s v="Great Lakes Food Market"/>
    <s v="Peacock, Margaret"/>
    <d v="1997-07-31T00:00:00"/>
    <d v="1997-08-04T00:00:00"/>
    <x v="2"/>
    <n v="20.382999999999999"/>
    <s v="USA"/>
  </r>
  <r>
    <n v="10618"/>
    <s v="Mère Paillarde"/>
    <s v="Davolio, Nancy"/>
    <d v="1997-08-01T00:00:00"/>
    <d v="1997-08-08T00:00:00"/>
    <x v="1"/>
    <n v="170.148"/>
    <s v="Canada"/>
  </r>
  <r>
    <n v="10619"/>
    <s v="Mère Paillarde"/>
    <s v="Leverling, Janet"/>
    <d v="1997-08-04T00:00:00"/>
    <d v="1997-08-07T00:00:00"/>
    <x v="0"/>
    <n v="100.155"/>
    <s v="Canada"/>
  </r>
  <r>
    <n v="10620"/>
    <s v="Laughing Bacchus Wine Cellars"/>
    <s v="Fuller, Andrew"/>
    <d v="1997-08-05T00:00:00"/>
    <d v="1997-08-14T00:00:00"/>
    <x v="0"/>
    <n v="1.034"/>
    <s v="Canada"/>
  </r>
  <r>
    <n v="10621"/>
    <s v="Island Trading"/>
    <s v="Peacock, Margaret"/>
    <d v="1997-08-05T00:00:00"/>
    <d v="1997-08-11T00:00:00"/>
    <x v="2"/>
    <n v="26.103000000000002"/>
    <s v="UK"/>
  </r>
  <r>
    <n v="10622"/>
    <s v="Ricardo Adocicados"/>
    <s v="Peacock, Margaret"/>
    <d v="1997-08-06T00:00:00"/>
    <d v="1997-08-11T00:00:00"/>
    <x v="0"/>
    <n v="56.067"/>
    <s v="Brazil"/>
  </r>
  <r>
    <n v="10623"/>
    <s v="Frankenversand"/>
    <s v="Callahan, Laura"/>
    <d v="1997-08-07T00:00:00"/>
    <d v="1997-08-12T00:00:00"/>
    <x v="2"/>
    <n v="106.898"/>
    <s v="Germany"/>
  </r>
  <r>
    <n v="10624"/>
    <s v="The Cracker Box"/>
    <s v="Peacock, Margaret"/>
    <d v="1997-08-07T00:00:00"/>
    <d v="1997-08-19T00:00:00"/>
    <x v="2"/>
    <n v="104.28"/>
    <s v="USA"/>
  </r>
  <r>
    <n v="10625"/>
    <s v="Ana Trujillo Emparedados y helados"/>
    <s v="Leverling, Janet"/>
    <d v="1997-08-08T00:00:00"/>
    <d v="1997-08-14T00:00:00"/>
    <x v="1"/>
    <n v="48.29"/>
    <s v="Mexico"/>
  </r>
  <r>
    <n v="10626"/>
    <s v="Berglunds snabbköp"/>
    <s v="Davolio, Nancy"/>
    <d v="1997-08-11T00:00:00"/>
    <d v="1997-08-20T00:00:00"/>
    <x v="2"/>
    <n v="152.559"/>
    <s v="Sweden"/>
  </r>
  <r>
    <n v="10627"/>
    <s v="Save-a-lot Markets"/>
    <s v="Callahan, Laura"/>
    <d v="1997-08-11T00:00:00"/>
    <d v="1997-08-21T00:00:00"/>
    <x v="0"/>
    <n v="118.206"/>
    <s v="USA"/>
  </r>
  <r>
    <n v="10628"/>
    <s v="Blondel père et fils"/>
    <s v="Peacock, Margaret"/>
    <d v="1997-08-12T00:00:00"/>
    <d v="1997-08-20T00:00:00"/>
    <x v="0"/>
    <n v="33.396000000000001"/>
    <s v="France"/>
  </r>
  <r>
    <n v="10629"/>
    <s v="Godos Cocina Típica"/>
    <s v="Peacock, Margaret"/>
    <d v="1997-08-12T00:00:00"/>
    <d v="1997-08-20T00:00:00"/>
    <x v="0"/>
    <n v="94.006"/>
    <s v="Spain"/>
  </r>
  <r>
    <n v="10630"/>
    <s v="Königlich Essen"/>
    <s v="Davolio, Nancy"/>
    <d v="1997-08-13T00:00:00"/>
    <d v="1997-08-19T00:00:00"/>
    <x v="2"/>
    <n v="35.585000000000001"/>
    <s v="Germany"/>
  </r>
  <r>
    <n v="10631"/>
    <s v="La maison d'Asie"/>
    <s v="Callahan, Laura"/>
    <d v="1997-08-14T00:00:00"/>
    <d v="1997-08-15T00:00:00"/>
    <x v="1"/>
    <n v="0.95699999999999996"/>
    <s v="France"/>
  </r>
  <r>
    <n v="10632"/>
    <s v="Die Wandernde Kuh"/>
    <s v="Callahan, Laura"/>
    <d v="1997-08-14T00:00:00"/>
    <d v="1997-08-19T00:00:00"/>
    <x v="1"/>
    <n v="45.518000000000001"/>
    <s v="Germany"/>
  </r>
  <r>
    <n v="10633"/>
    <s v="Ernst Handel"/>
    <s v="King, Robert"/>
    <d v="1997-08-15T00:00:00"/>
    <d v="1997-08-18T00:00:00"/>
    <x v="0"/>
    <n v="525.69000000000005"/>
    <s v="Austria"/>
  </r>
  <r>
    <n v="10634"/>
    <s v="Folies gourmandes"/>
    <s v="Peacock, Margaret"/>
    <d v="1997-08-15T00:00:00"/>
    <d v="1997-08-21T00:00:00"/>
    <x v="0"/>
    <n v="536.11800000000005"/>
    <s v="France"/>
  </r>
  <r>
    <n v="10635"/>
    <s v="Magazzini Alimentari Riuniti"/>
    <s v="Callahan, Laura"/>
    <d v="1997-08-18T00:00:00"/>
    <d v="1997-08-21T00:00:00"/>
    <x v="0"/>
    <n v="52.206000000000003"/>
    <s v="Italy"/>
  </r>
  <r>
    <n v="10636"/>
    <s v="Wartian Herkku"/>
    <s v="Peacock, Margaret"/>
    <d v="1997-08-19T00:00:00"/>
    <d v="1997-08-26T00:00:00"/>
    <x v="1"/>
    <n v="1.2649999999999999"/>
    <s v="Finland"/>
  </r>
  <r>
    <n v="10637"/>
    <s v="Queen Cozinha"/>
    <s v="Suyama, Michael"/>
    <d v="1997-08-19T00:00:00"/>
    <d v="1997-08-26T00:00:00"/>
    <x v="1"/>
    <n v="221.41900000000001"/>
    <s v="Brazil"/>
  </r>
  <r>
    <n v="10638"/>
    <s v="LINO-Delicateses"/>
    <s v="Leverling, Janet"/>
    <d v="1997-08-20T00:00:00"/>
    <d v="1997-09-01T00:00:00"/>
    <x v="1"/>
    <n v="174.28399999999999"/>
    <s v="Venezuela"/>
  </r>
  <r>
    <n v="10639"/>
    <s v="Santé Gourmet"/>
    <s v="King, Robert"/>
    <d v="1997-08-20T00:00:00"/>
    <d v="1997-08-27T00:00:00"/>
    <x v="0"/>
    <n v="42.503999999999998"/>
    <s v="Norway"/>
  </r>
  <r>
    <n v="10640"/>
    <s v="Die Wandernde Kuh"/>
    <s v="Peacock, Margaret"/>
    <d v="1997-08-21T00:00:00"/>
    <d v="1997-08-28T00:00:00"/>
    <x v="1"/>
    <n v="25.905000000000001"/>
    <s v="Germany"/>
  </r>
  <r>
    <n v="10641"/>
    <s v="HILARIÓN-Abastos"/>
    <s v="Peacock, Margaret"/>
    <d v="1997-08-22T00:00:00"/>
    <d v="1997-08-26T00:00:00"/>
    <x v="2"/>
    <n v="197.571"/>
    <s v="Venezuela"/>
  </r>
  <r>
    <n v="10642"/>
    <s v="Simons bistro"/>
    <s v="King, Robert"/>
    <d v="1997-08-22T00:00:00"/>
    <d v="1997-09-05T00:00:00"/>
    <x v="0"/>
    <n v="46.079000000000001"/>
    <s v="Denmark"/>
  </r>
  <r>
    <n v="10643"/>
    <s v="Alfreds Futterkiste"/>
    <s v="Suyama, Michael"/>
    <d v="1997-08-25T00:00:00"/>
    <d v="1997-09-02T00:00:00"/>
    <x v="1"/>
    <n v="32.405999999999999"/>
    <s v="Germany"/>
  </r>
  <r>
    <n v="10644"/>
    <s v="Wellington Importadora"/>
    <s v="Leverling, Janet"/>
    <d v="1997-08-25T00:00:00"/>
    <d v="1997-09-01T00:00:00"/>
    <x v="2"/>
    <n v="0.154"/>
    <s v="Brazil"/>
  </r>
  <r>
    <n v="10645"/>
    <s v="Hanari Carnes"/>
    <s v="Peacock, Margaret"/>
    <d v="1997-08-26T00:00:00"/>
    <d v="1997-09-02T00:00:00"/>
    <x v="1"/>
    <n v="13.651"/>
    <s v="Brazil"/>
  </r>
  <r>
    <n v="10646"/>
    <s v="Hungry Owl All-Night Grocers"/>
    <s v="Dodsworth, Anne"/>
    <d v="1997-08-27T00:00:00"/>
    <d v="1997-09-03T00:00:00"/>
    <x v="0"/>
    <n v="156.56299999999999"/>
    <s v="Ireland"/>
  </r>
  <r>
    <n v="10647"/>
    <s v="Que Delícia"/>
    <s v="Peacock, Margaret"/>
    <d v="1997-08-27T00:00:00"/>
    <d v="1997-09-03T00:00:00"/>
    <x v="2"/>
    <n v="50.094000000000001"/>
    <s v="Brazil"/>
  </r>
  <r>
    <n v="10648"/>
    <s v="Ricardo Adocicados"/>
    <s v="Buchanan, Steven"/>
    <d v="1997-08-28T00:00:00"/>
    <d v="1997-09-09T00:00:00"/>
    <x v="2"/>
    <n v="15.675000000000001"/>
    <s v="Brazil"/>
  </r>
  <r>
    <n v="10649"/>
    <s v="Maison Dewey"/>
    <s v="Buchanan, Steven"/>
    <d v="1997-08-28T00:00:00"/>
    <d v="1997-08-29T00:00:00"/>
    <x v="0"/>
    <n v="6.82"/>
    <s v="Belgium"/>
  </r>
  <r>
    <n v="10650"/>
    <s v="Familia Arquibaldo"/>
    <s v="Buchanan, Steven"/>
    <d v="1997-08-29T00:00:00"/>
    <d v="1997-09-03T00:00:00"/>
    <x v="0"/>
    <n v="194.49100000000001"/>
    <s v="Brazil"/>
  </r>
  <r>
    <n v="10651"/>
    <s v="Die Wandernde Kuh"/>
    <s v="Callahan, Laura"/>
    <d v="1997-09-01T00:00:00"/>
    <d v="1997-09-11T00:00:00"/>
    <x v="2"/>
    <n v="22.66"/>
    <s v="Germany"/>
  </r>
  <r>
    <n v="10652"/>
    <s v="Gourmet Lanchonetes"/>
    <s v="Peacock, Margaret"/>
    <d v="1997-09-01T00:00:00"/>
    <d v="1997-09-08T00:00:00"/>
    <x v="2"/>
    <n v="7.8540000000000001"/>
    <s v="Brazil"/>
  </r>
  <r>
    <n v="10653"/>
    <s v="Frankenversand"/>
    <s v="Davolio, Nancy"/>
    <d v="1997-09-02T00:00:00"/>
    <d v="1997-09-19T00:00:00"/>
    <x v="1"/>
    <n v="102.575"/>
    <s v="Germany"/>
  </r>
  <r>
    <n v="10654"/>
    <s v="Berglunds snabbköp"/>
    <s v="Buchanan, Steven"/>
    <d v="1997-09-02T00:00:00"/>
    <d v="1997-09-11T00:00:00"/>
    <x v="1"/>
    <n v="60.786000000000001"/>
    <s v="Sweden"/>
  </r>
  <r>
    <n v="10655"/>
    <s v="Reggiani Caseifici"/>
    <s v="Davolio, Nancy"/>
    <d v="1997-09-03T00:00:00"/>
    <d v="1997-09-11T00:00:00"/>
    <x v="2"/>
    <n v="4.851"/>
    <s v="Italy"/>
  </r>
  <r>
    <n v="10656"/>
    <s v="Great Lakes Food Market"/>
    <s v="Suyama, Michael"/>
    <d v="1997-09-04T00:00:00"/>
    <d v="1997-09-10T00:00:00"/>
    <x v="1"/>
    <n v="62.865000000000002"/>
    <s v="USA"/>
  </r>
  <r>
    <n v="10657"/>
    <s v="Save-a-lot Markets"/>
    <s v="Fuller, Andrew"/>
    <d v="1997-09-04T00:00:00"/>
    <d v="1997-09-15T00:00:00"/>
    <x v="2"/>
    <n v="387.959"/>
    <s v="USA"/>
  </r>
  <r>
    <n v="10658"/>
    <s v="QUICK-Stop"/>
    <s v="Peacock, Margaret"/>
    <d v="1997-09-05T00:00:00"/>
    <d v="1997-09-08T00:00:00"/>
    <x v="1"/>
    <n v="400.565"/>
    <s v="Germany"/>
  </r>
  <r>
    <n v="10659"/>
    <s v="Queen Cozinha"/>
    <s v="King, Robert"/>
    <d v="1997-09-05T00:00:00"/>
    <d v="1997-09-10T00:00:00"/>
    <x v="2"/>
    <n v="116.39100000000001"/>
    <s v="Brazil"/>
  </r>
  <r>
    <n v="10660"/>
    <s v="Hungry Coyote Import Store"/>
    <s v="Callahan, Laura"/>
    <d v="1997-09-08T00:00:00"/>
    <d v="1997-10-15T00:00:00"/>
    <x v="1"/>
    <n v="122.419"/>
    <s v="USA"/>
  </r>
  <r>
    <n v="10661"/>
    <s v="Hungry Owl All-Night Grocers"/>
    <s v="King, Robert"/>
    <d v="1997-09-09T00:00:00"/>
    <d v="1997-09-15T00:00:00"/>
    <x v="0"/>
    <n v="19.305"/>
    <s v="Ireland"/>
  </r>
  <r>
    <n v="10662"/>
    <s v="Lonesome Pine Restaurant"/>
    <s v="Leverling, Janet"/>
    <d v="1997-09-09T00:00:00"/>
    <d v="1997-09-18T00:00:00"/>
    <x v="2"/>
    <n v="1.4079999999999999"/>
    <s v="USA"/>
  </r>
  <r>
    <n v="10663"/>
    <s v="Bon app'"/>
    <s v="Fuller, Andrew"/>
    <d v="1997-09-10T00:00:00"/>
    <d v="1997-10-03T00:00:00"/>
    <x v="2"/>
    <n v="124.465"/>
    <s v="France"/>
  </r>
  <r>
    <n v="10664"/>
    <s v="Furia Bacalhau e Frutos do Mar"/>
    <s v="Davolio, Nancy"/>
    <d v="1997-09-10T00:00:00"/>
    <d v="1997-09-19T00:00:00"/>
    <x v="0"/>
    <n v="1.397"/>
    <s v="Portugal"/>
  </r>
  <r>
    <n v="10665"/>
    <s v="Lonesome Pine Restaurant"/>
    <s v="Davolio, Nancy"/>
    <d v="1997-09-11T00:00:00"/>
    <d v="1997-09-17T00:00:00"/>
    <x v="2"/>
    <n v="28.940999999999999"/>
    <s v="USA"/>
  </r>
  <r>
    <n v="10666"/>
    <s v="Richter Supermarkt"/>
    <s v="King, Robert"/>
    <d v="1997-09-12T00:00:00"/>
    <d v="1997-09-22T00:00:00"/>
    <x v="2"/>
    <n v="255.66200000000001"/>
    <s v="Switzerland"/>
  </r>
  <r>
    <n v="10667"/>
    <s v="Ernst Handel"/>
    <s v="King, Robert"/>
    <d v="1997-09-12T00:00:00"/>
    <d v="1997-09-19T00:00:00"/>
    <x v="1"/>
    <n v="85.899000000000001"/>
    <s v="Austria"/>
  </r>
  <r>
    <n v="10668"/>
    <s v="Die Wandernde Kuh"/>
    <s v="Davolio, Nancy"/>
    <d v="1997-09-15T00:00:00"/>
    <d v="1997-09-23T00:00:00"/>
    <x v="2"/>
    <n v="51.942"/>
    <s v="Germany"/>
  </r>
  <r>
    <n v="10669"/>
    <s v="Simons bistro"/>
    <s v="Fuller, Andrew"/>
    <d v="1997-09-15T00:00:00"/>
    <d v="1997-09-22T00:00:00"/>
    <x v="1"/>
    <n v="26.829000000000001"/>
    <s v="Denmark"/>
  </r>
  <r>
    <n v="10670"/>
    <s v="Frankenversand"/>
    <s v="Peacock, Margaret"/>
    <d v="1997-09-16T00:00:00"/>
    <d v="1997-09-18T00:00:00"/>
    <x v="1"/>
    <n v="223.828"/>
    <s v="Germany"/>
  </r>
  <r>
    <n v="10671"/>
    <s v="France restauration"/>
    <s v="Davolio, Nancy"/>
    <d v="1997-09-17T00:00:00"/>
    <d v="1997-09-24T00:00:00"/>
    <x v="1"/>
    <n v="33.374000000000002"/>
    <s v="France"/>
  </r>
  <r>
    <n v="10672"/>
    <s v="Berglunds snabbköp"/>
    <s v="Dodsworth, Anne"/>
    <d v="1997-09-17T00:00:00"/>
    <d v="1997-09-26T00:00:00"/>
    <x v="2"/>
    <n v="105.325"/>
    <s v="Sweden"/>
  </r>
  <r>
    <n v="10673"/>
    <s v="Wilman Kala"/>
    <s v="Fuller, Andrew"/>
    <d v="1997-09-18T00:00:00"/>
    <d v="1997-09-19T00:00:00"/>
    <x v="1"/>
    <n v="25.036000000000001"/>
    <s v="Finland"/>
  </r>
  <r>
    <n v="10674"/>
    <s v="Island Trading"/>
    <s v="Peacock, Margaret"/>
    <d v="1997-09-18T00:00:00"/>
    <d v="1997-09-30T00:00:00"/>
    <x v="2"/>
    <n v="0.99"/>
    <s v="UK"/>
  </r>
  <r>
    <n v="10675"/>
    <s v="Frankenversand"/>
    <s v="Buchanan, Steven"/>
    <d v="1997-09-19T00:00:00"/>
    <d v="1997-09-23T00:00:00"/>
    <x v="2"/>
    <n v="35.034999999999997"/>
    <s v="Germany"/>
  </r>
  <r>
    <n v="10676"/>
    <s v="Tortuga Restaurante"/>
    <s v="Fuller, Andrew"/>
    <d v="1997-09-22T00:00:00"/>
    <d v="1997-09-29T00:00:00"/>
    <x v="2"/>
    <n v="2.2109999999999999"/>
    <s v="Mexico"/>
  </r>
  <r>
    <n v="10677"/>
    <s v="Antonio Moreno Taquería"/>
    <s v="Davolio, Nancy"/>
    <d v="1997-09-22T00:00:00"/>
    <d v="1997-09-26T00:00:00"/>
    <x v="0"/>
    <n v="4.4329999999999998"/>
    <s v="Mexico"/>
  </r>
  <r>
    <n v="10678"/>
    <s v="Save-a-lot Markets"/>
    <s v="King, Robert"/>
    <d v="1997-09-23T00:00:00"/>
    <d v="1997-10-16T00:00:00"/>
    <x v="0"/>
    <n v="427.87799999999999"/>
    <s v="USA"/>
  </r>
  <r>
    <n v="10679"/>
    <s v="Blondel père et fils"/>
    <s v="Callahan, Laura"/>
    <d v="1997-09-23T00:00:00"/>
    <d v="1997-09-30T00:00:00"/>
    <x v="0"/>
    <n v="30.734000000000002"/>
    <s v="France"/>
  </r>
  <r>
    <n v="10680"/>
    <s v="Old World Delicatessen"/>
    <s v="Davolio, Nancy"/>
    <d v="1997-09-24T00:00:00"/>
    <d v="1997-09-26T00:00:00"/>
    <x v="1"/>
    <n v="29.271000000000001"/>
    <s v="USA"/>
  </r>
  <r>
    <n v="10681"/>
    <s v="Great Lakes Food Market"/>
    <s v="Leverling, Janet"/>
    <d v="1997-09-25T00:00:00"/>
    <d v="1997-09-30T00:00:00"/>
    <x v="0"/>
    <n v="83.742999999999995"/>
    <s v="USA"/>
  </r>
  <r>
    <n v="10682"/>
    <s v="Antonio Moreno Taquería"/>
    <s v="Leverling, Janet"/>
    <d v="1997-09-25T00:00:00"/>
    <d v="1997-10-01T00:00:00"/>
    <x v="2"/>
    <n v="39.743000000000002"/>
    <s v="Mexico"/>
  </r>
  <r>
    <n v="10683"/>
    <s v="Du monde entier"/>
    <s v="Fuller, Andrew"/>
    <d v="1997-09-26T00:00:00"/>
    <d v="1997-10-01T00:00:00"/>
    <x v="1"/>
    <n v="4.84"/>
    <s v="France"/>
  </r>
  <r>
    <n v="10684"/>
    <s v="Ottilies Käseladen"/>
    <s v="Leverling, Janet"/>
    <d v="1997-09-26T00:00:00"/>
    <d v="1997-09-30T00:00:00"/>
    <x v="1"/>
    <n v="160.19300000000001"/>
    <s v="Germany"/>
  </r>
  <r>
    <n v="10685"/>
    <s v="Gourmet Lanchonetes"/>
    <s v="Peacock, Margaret"/>
    <d v="1997-09-29T00:00:00"/>
    <d v="1997-10-03T00:00:00"/>
    <x v="2"/>
    <n v="37.125"/>
    <s v="Brazil"/>
  </r>
  <r>
    <n v="10686"/>
    <s v="Piccolo und mehr"/>
    <s v="Fuller, Andrew"/>
    <d v="1997-09-30T00:00:00"/>
    <d v="1997-10-08T00:00:00"/>
    <x v="1"/>
    <n v="106.15"/>
    <s v="Austria"/>
  </r>
  <r>
    <n v="10687"/>
    <s v="Hungry Owl All-Night Grocers"/>
    <s v="Dodsworth, Anne"/>
    <d v="1997-09-30T00:00:00"/>
    <d v="1997-10-30T00:00:00"/>
    <x v="2"/>
    <n v="326.07299999999998"/>
    <s v="Ireland"/>
  </r>
  <r>
    <n v="10688"/>
    <s v="Vaffeljernet"/>
    <s v="Peacock, Margaret"/>
    <d v="1997-10-01T00:00:00"/>
    <d v="1997-10-07T00:00:00"/>
    <x v="2"/>
    <n v="328.99900000000002"/>
    <s v="Denmark"/>
  </r>
  <r>
    <n v="10689"/>
    <s v="Berglunds snabbköp"/>
    <s v="Davolio, Nancy"/>
    <d v="1997-10-01T00:00:00"/>
    <d v="1997-10-07T00:00:00"/>
    <x v="2"/>
    <n v="14.762"/>
    <s v="Sweden"/>
  </r>
  <r>
    <n v="10690"/>
    <s v="Hanari Carnes"/>
    <s v="Davolio, Nancy"/>
    <d v="1997-10-02T00:00:00"/>
    <d v="1997-10-03T00:00:00"/>
    <x v="1"/>
    <n v="17.38"/>
    <s v="Brazil"/>
  </r>
  <r>
    <n v="10691"/>
    <s v="QUICK-Stop"/>
    <s v="Fuller, Andrew"/>
    <d v="1997-10-03T00:00:00"/>
    <d v="1997-10-22T00:00:00"/>
    <x v="2"/>
    <n v="891.05499999999995"/>
    <s v="Germany"/>
  </r>
  <r>
    <n v="10692"/>
    <s v="Alfreds Futterkiste"/>
    <s v="Peacock, Margaret"/>
    <d v="1997-10-03T00:00:00"/>
    <d v="1997-10-13T00:00:00"/>
    <x v="2"/>
    <n v="67.122"/>
    <s v="Germany"/>
  </r>
  <r>
    <n v="10693"/>
    <s v="White Clover Markets"/>
    <s v="Leverling, Janet"/>
    <d v="1997-10-06T00:00:00"/>
    <d v="1997-10-10T00:00:00"/>
    <x v="0"/>
    <n v="153.274"/>
    <s v="USA"/>
  </r>
  <r>
    <n v="10694"/>
    <s v="QUICK-Stop"/>
    <s v="Callahan, Laura"/>
    <d v="1997-10-06T00:00:00"/>
    <d v="1997-10-09T00:00:00"/>
    <x v="0"/>
    <n v="438.19600000000003"/>
    <s v="Germany"/>
  </r>
  <r>
    <n v="10695"/>
    <s v="Wilman Kala"/>
    <s v="King, Robert"/>
    <d v="1997-10-07T00:00:00"/>
    <d v="1997-10-14T00:00:00"/>
    <x v="1"/>
    <n v="18.391999999999999"/>
    <s v="Finland"/>
  </r>
  <r>
    <n v="10696"/>
    <s v="White Clover Markets"/>
    <s v="Callahan, Laura"/>
    <d v="1997-10-08T00:00:00"/>
    <d v="1997-10-14T00:00:00"/>
    <x v="0"/>
    <n v="112.80500000000001"/>
    <s v="USA"/>
  </r>
  <r>
    <n v="10697"/>
    <s v="LINO-Delicateses"/>
    <s v="Leverling, Janet"/>
    <d v="1997-10-08T00:00:00"/>
    <d v="1997-10-14T00:00:00"/>
    <x v="1"/>
    <n v="50.072000000000003"/>
    <s v="Venezuela"/>
  </r>
  <r>
    <n v="10698"/>
    <s v="Ernst Handel"/>
    <s v="Peacock, Margaret"/>
    <d v="1997-10-09T00:00:00"/>
    <d v="1997-10-17T00:00:00"/>
    <x v="1"/>
    <n v="299.71699999999998"/>
    <s v="Austria"/>
  </r>
  <r>
    <n v="10699"/>
    <s v="Morgenstern Gesundkost"/>
    <s v="Leverling, Janet"/>
    <d v="1997-10-09T00:00:00"/>
    <d v="1997-10-13T00:00:00"/>
    <x v="0"/>
    <n v="0.63800000000000001"/>
    <s v="Germany"/>
  </r>
  <r>
    <n v="10700"/>
    <s v="Save-a-lot Markets"/>
    <s v="Leverling, Janet"/>
    <d v="1997-10-10T00:00:00"/>
    <d v="1997-10-16T00:00:00"/>
    <x v="1"/>
    <n v="71.61"/>
    <s v="USA"/>
  </r>
  <r>
    <n v="10701"/>
    <s v="Hungry Owl All-Night Grocers"/>
    <s v="Suyama, Michael"/>
    <d v="1997-10-13T00:00:00"/>
    <d v="1997-10-15T00:00:00"/>
    <x v="0"/>
    <n v="242.34100000000001"/>
    <s v="Ireland"/>
  </r>
  <r>
    <n v="10702"/>
    <s v="Alfreds Futterkiste"/>
    <s v="Peacock, Margaret"/>
    <d v="1997-10-13T00:00:00"/>
    <d v="1997-10-21T00:00:00"/>
    <x v="1"/>
    <n v="26.334"/>
    <s v="Germany"/>
  </r>
  <r>
    <n v="10703"/>
    <s v="Folk och fä HB"/>
    <s v="Suyama, Michael"/>
    <d v="1997-10-14T00:00:00"/>
    <d v="1997-10-20T00:00:00"/>
    <x v="2"/>
    <n v="167.53"/>
    <s v="Sweden"/>
  </r>
  <r>
    <n v="10704"/>
    <s v="Queen Cozinha"/>
    <s v="Suyama, Michael"/>
    <d v="1997-10-14T00:00:00"/>
    <d v="1997-11-07T00:00:00"/>
    <x v="1"/>
    <n v="5.258"/>
    <s v="Brazil"/>
  </r>
  <r>
    <n v="10705"/>
    <s v="HILARIÓN-Abastos"/>
    <s v="Dodsworth, Anne"/>
    <d v="1997-10-15T00:00:00"/>
    <d v="1997-11-18T00:00:00"/>
    <x v="2"/>
    <n v="3.8719999999999999"/>
    <s v="Venezuela"/>
  </r>
  <r>
    <n v="10706"/>
    <s v="Old World Delicatessen"/>
    <s v="Callahan, Laura"/>
    <d v="1997-10-16T00:00:00"/>
    <d v="1997-10-21T00:00:00"/>
    <x v="0"/>
    <n v="149.19300000000001"/>
    <s v="USA"/>
  </r>
  <r>
    <n v="10707"/>
    <s v="Around the Horn"/>
    <s v="Peacock, Margaret"/>
    <d v="1997-10-16T00:00:00"/>
    <d v="1997-10-23T00:00:00"/>
    <x v="0"/>
    <n v="23.914000000000001"/>
    <s v="UK"/>
  </r>
  <r>
    <n v="10708"/>
    <s v="The Big Cheese"/>
    <s v="Suyama, Michael"/>
    <d v="1997-10-17T00:00:00"/>
    <d v="1997-11-05T00:00:00"/>
    <x v="2"/>
    <n v="3.2559999999999998"/>
    <s v="USA"/>
  </r>
  <r>
    <n v="10709"/>
    <s v="Gourmet Lanchonetes"/>
    <s v="Davolio, Nancy"/>
    <d v="1997-10-17T00:00:00"/>
    <d v="1997-11-20T00:00:00"/>
    <x v="0"/>
    <n v="231.88"/>
    <s v="Brazil"/>
  </r>
  <r>
    <n v="10710"/>
    <s v="Franchi S.p.A."/>
    <s v="Davolio, Nancy"/>
    <d v="1997-10-20T00:00:00"/>
    <d v="1997-10-23T00:00:00"/>
    <x v="1"/>
    <n v="5.4779999999999998"/>
    <s v="Italy"/>
  </r>
  <r>
    <n v="10711"/>
    <s v="Save-a-lot Markets"/>
    <s v="Buchanan, Steven"/>
    <d v="1997-10-21T00:00:00"/>
    <d v="1997-10-29T00:00:00"/>
    <x v="2"/>
    <n v="57.651000000000003"/>
    <s v="USA"/>
  </r>
  <r>
    <n v="10712"/>
    <s v="Hungry Owl All-Night Grocers"/>
    <s v="Leverling, Janet"/>
    <d v="1997-10-21T00:00:00"/>
    <d v="1997-10-31T00:00:00"/>
    <x v="1"/>
    <n v="98.923000000000002"/>
    <s v="Ireland"/>
  </r>
  <r>
    <n v="10713"/>
    <s v="Save-a-lot Markets"/>
    <s v="Davolio, Nancy"/>
    <d v="1997-10-22T00:00:00"/>
    <d v="1997-10-24T00:00:00"/>
    <x v="1"/>
    <n v="183.755"/>
    <s v="USA"/>
  </r>
  <r>
    <n v="10714"/>
    <s v="Save-a-lot Markets"/>
    <s v="Buchanan, Steven"/>
    <d v="1997-10-22T00:00:00"/>
    <d v="1997-10-27T00:00:00"/>
    <x v="0"/>
    <n v="26.939"/>
    <s v="USA"/>
  </r>
  <r>
    <n v="10715"/>
    <s v="Bon app'"/>
    <s v="Leverling, Janet"/>
    <d v="1997-10-23T00:00:00"/>
    <d v="1997-10-29T00:00:00"/>
    <x v="1"/>
    <n v="69.52"/>
    <s v="France"/>
  </r>
  <r>
    <n v="10716"/>
    <s v="Rancho grande"/>
    <s v="Peacock, Margaret"/>
    <d v="1997-10-24T00:00:00"/>
    <d v="1997-10-27T00:00:00"/>
    <x v="2"/>
    <n v="24.827000000000002"/>
    <s v="Argentina"/>
  </r>
  <r>
    <n v="10717"/>
    <s v="Frankenversand"/>
    <s v="Davolio, Nancy"/>
    <d v="1997-10-24T00:00:00"/>
    <d v="1997-10-29T00:00:00"/>
    <x v="2"/>
    <n v="65.174999999999997"/>
    <s v="Germany"/>
  </r>
  <r>
    <n v="10718"/>
    <s v="Königlich Essen"/>
    <s v="Davolio, Nancy"/>
    <d v="1997-10-27T00:00:00"/>
    <d v="1997-10-29T00:00:00"/>
    <x v="0"/>
    <n v="187.96799999999999"/>
    <s v="Germany"/>
  </r>
  <r>
    <n v="10719"/>
    <s v="Let's Stop N Shop"/>
    <s v="Callahan, Laura"/>
    <d v="1997-10-27T00:00:00"/>
    <d v="1997-11-05T00:00:00"/>
    <x v="2"/>
    <n v="56.584000000000003"/>
    <s v="USA"/>
  </r>
  <r>
    <n v="10720"/>
    <s v="Que Delícia"/>
    <s v="Callahan, Laura"/>
    <d v="1997-10-28T00:00:00"/>
    <d v="1997-11-05T00:00:00"/>
    <x v="2"/>
    <n v="10.483000000000001"/>
    <s v="Brazil"/>
  </r>
  <r>
    <n v="10721"/>
    <s v="QUICK-Stop"/>
    <s v="Buchanan, Steven"/>
    <d v="1997-10-29T00:00:00"/>
    <d v="1997-10-31T00:00:00"/>
    <x v="0"/>
    <n v="53.811999999999998"/>
    <s v="Germany"/>
  </r>
  <r>
    <n v="10722"/>
    <s v="Save-a-lot Markets"/>
    <s v="Callahan, Laura"/>
    <d v="1997-10-29T00:00:00"/>
    <d v="1997-11-04T00:00:00"/>
    <x v="1"/>
    <n v="82.037999999999997"/>
    <s v="USA"/>
  </r>
  <r>
    <n v="10723"/>
    <s v="White Clover Markets"/>
    <s v="Leverling, Janet"/>
    <d v="1997-10-30T00:00:00"/>
    <d v="1997-11-25T00:00:00"/>
    <x v="1"/>
    <n v="23.891999999999999"/>
    <s v="USA"/>
  </r>
  <r>
    <n v="10724"/>
    <s v="Mère Paillarde"/>
    <s v="Callahan, Laura"/>
    <d v="1997-10-30T00:00:00"/>
    <d v="1997-11-05T00:00:00"/>
    <x v="2"/>
    <n v="63.524999999999999"/>
    <s v="Canada"/>
  </r>
  <r>
    <n v="10725"/>
    <s v="Familia Arquibaldo"/>
    <s v="Peacock, Margaret"/>
    <d v="1997-10-31T00:00:00"/>
    <d v="1997-11-05T00:00:00"/>
    <x v="0"/>
    <n v="11.913"/>
    <s v="Brazil"/>
  </r>
  <r>
    <n v="10726"/>
    <s v="Eastern Connection"/>
    <s v="Peacock, Margaret"/>
    <d v="1997-11-03T00:00:00"/>
    <d v="1997-12-05T00:00:00"/>
    <x v="1"/>
    <n v="18.216000000000001"/>
    <s v="UK"/>
  </r>
  <r>
    <n v="10727"/>
    <s v="Reggiani Caseifici"/>
    <s v="Fuller, Andrew"/>
    <d v="1997-11-03T00:00:00"/>
    <d v="1997-12-05T00:00:00"/>
    <x v="1"/>
    <n v="98.89"/>
    <s v="Italy"/>
  </r>
  <r>
    <n v="10728"/>
    <s v="Queen Cozinha"/>
    <s v="Peacock, Margaret"/>
    <d v="1997-11-04T00:00:00"/>
    <d v="1997-11-11T00:00:00"/>
    <x v="2"/>
    <n v="64.162999999999997"/>
    <s v="Brazil"/>
  </r>
  <r>
    <n v="10729"/>
    <s v="LINO-Delicateses"/>
    <s v="Callahan, Laura"/>
    <d v="1997-11-04T00:00:00"/>
    <d v="1997-11-14T00:00:00"/>
    <x v="0"/>
    <n v="155.166"/>
    <s v="Venezuela"/>
  </r>
  <r>
    <n v="10730"/>
    <s v="Bon app'"/>
    <s v="Buchanan, Steven"/>
    <d v="1997-11-05T00:00:00"/>
    <d v="1997-11-14T00:00:00"/>
    <x v="1"/>
    <n v="22.132000000000001"/>
    <s v="France"/>
  </r>
  <r>
    <n v="10731"/>
    <s v="Chop-suey Chinese"/>
    <s v="King, Robert"/>
    <d v="1997-11-06T00:00:00"/>
    <d v="1997-11-14T00:00:00"/>
    <x v="1"/>
    <n v="106.315"/>
    <s v="Switzerland"/>
  </r>
  <r>
    <n v="10732"/>
    <s v="Bon app'"/>
    <s v="Leverling, Janet"/>
    <d v="1997-11-06T00:00:00"/>
    <d v="1997-11-07T00:00:00"/>
    <x v="1"/>
    <n v="18.667000000000002"/>
    <s v="France"/>
  </r>
  <r>
    <n v="10733"/>
    <s v="Berglunds snabbköp"/>
    <s v="Davolio, Nancy"/>
    <d v="1997-11-07T00:00:00"/>
    <d v="1997-11-10T00:00:00"/>
    <x v="0"/>
    <n v="121.121"/>
    <s v="Sweden"/>
  </r>
  <r>
    <n v="10734"/>
    <s v="Gourmet Lanchonetes"/>
    <s v="Fuller, Andrew"/>
    <d v="1997-11-07T00:00:00"/>
    <d v="1997-11-12T00:00:00"/>
    <x v="0"/>
    <n v="1.7929999999999999"/>
    <s v="Brazil"/>
  </r>
  <r>
    <n v="10735"/>
    <s v="Let's Stop N Shop"/>
    <s v="Suyama, Michael"/>
    <d v="1997-11-10T00:00:00"/>
    <d v="1997-11-21T00:00:00"/>
    <x v="2"/>
    <n v="50.567"/>
    <s v="USA"/>
  </r>
  <r>
    <n v="10736"/>
    <s v="Hungry Owl All-Night Grocers"/>
    <s v="Dodsworth, Anne"/>
    <d v="1997-11-11T00:00:00"/>
    <d v="1997-11-21T00:00:00"/>
    <x v="2"/>
    <n v="48.51"/>
    <s v="Ireland"/>
  </r>
  <r>
    <n v="10737"/>
    <s v="Vins et alcools Chevalier"/>
    <s v="Fuller, Andrew"/>
    <d v="1997-11-11T00:00:00"/>
    <d v="1997-11-18T00:00:00"/>
    <x v="2"/>
    <n v="8.5690000000000008"/>
    <s v="France"/>
  </r>
  <r>
    <n v="10738"/>
    <s v="Spécialités du monde"/>
    <s v="Fuller, Andrew"/>
    <d v="1997-11-12T00:00:00"/>
    <d v="1997-11-18T00:00:00"/>
    <x v="1"/>
    <n v="3.2010000000000001"/>
    <s v="France"/>
  </r>
  <r>
    <n v="10739"/>
    <s v="Vins et alcools Chevalier"/>
    <s v="Leverling, Janet"/>
    <d v="1997-11-12T00:00:00"/>
    <d v="1997-11-17T00:00:00"/>
    <x v="0"/>
    <n v="12.188000000000001"/>
    <s v="France"/>
  </r>
  <r>
    <n v="10740"/>
    <s v="White Clover Markets"/>
    <s v="Peacock, Margaret"/>
    <d v="1997-11-13T00:00:00"/>
    <d v="1997-11-25T00:00:00"/>
    <x v="2"/>
    <n v="90.067999999999998"/>
    <s v="USA"/>
  </r>
  <r>
    <n v="10741"/>
    <s v="Around the Horn"/>
    <s v="Peacock, Margaret"/>
    <d v="1997-11-14T00:00:00"/>
    <d v="1997-11-18T00:00:00"/>
    <x v="0"/>
    <n v="12.055999999999999"/>
    <s v="UK"/>
  </r>
  <r>
    <n v="10742"/>
    <s v="Bottom-Dollar Markets"/>
    <s v="Leverling, Janet"/>
    <d v="1997-11-14T00:00:00"/>
    <d v="1997-11-18T00:00:00"/>
    <x v="0"/>
    <n v="268.10300000000001"/>
    <s v="Canada"/>
  </r>
  <r>
    <n v="10743"/>
    <s v="Around the Horn"/>
    <s v="Davolio, Nancy"/>
    <d v="1997-11-17T00:00:00"/>
    <d v="1997-11-21T00:00:00"/>
    <x v="2"/>
    <n v="26.091999999999999"/>
    <s v="UK"/>
  </r>
  <r>
    <n v="10744"/>
    <s v="Vaffeljernet"/>
    <s v="Suyama, Michael"/>
    <d v="1997-11-17T00:00:00"/>
    <d v="1997-11-24T00:00:00"/>
    <x v="1"/>
    <n v="76.108999999999995"/>
    <s v="Denmark"/>
  </r>
  <r>
    <n v="10745"/>
    <s v="QUICK-Stop"/>
    <s v="Dodsworth, Anne"/>
    <d v="1997-11-18T00:00:00"/>
    <d v="1997-11-27T00:00:00"/>
    <x v="1"/>
    <n v="3.8719999999999999"/>
    <s v="Germany"/>
  </r>
  <r>
    <n v="10746"/>
    <s v="Chop-suey Chinese"/>
    <s v="Davolio, Nancy"/>
    <d v="1997-11-19T00:00:00"/>
    <d v="1997-11-21T00:00:00"/>
    <x v="0"/>
    <n v="34.573"/>
    <s v="Switzerland"/>
  </r>
  <r>
    <n v="10747"/>
    <s v="Piccolo und mehr"/>
    <s v="Suyama, Michael"/>
    <d v="1997-11-19T00:00:00"/>
    <d v="1997-11-26T00:00:00"/>
    <x v="1"/>
    <n v="129.06299999999999"/>
    <s v="Austria"/>
  </r>
  <r>
    <n v="10748"/>
    <s v="Save-a-lot Markets"/>
    <s v="Leverling, Janet"/>
    <d v="1997-11-20T00:00:00"/>
    <d v="1997-11-28T00:00:00"/>
    <x v="1"/>
    <n v="255.80500000000001"/>
    <s v="USA"/>
  </r>
  <r>
    <n v="10749"/>
    <s v="Island Trading"/>
    <s v="Peacock, Margaret"/>
    <d v="1997-11-20T00:00:00"/>
    <d v="1997-12-19T00:00:00"/>
    <x v="2"/>
    <n v="67.683000000000007"/>
    <s v="UK"/>
  </r>
  <r>
    <n v="10750"/>
    <s v="Wartian Herkku"/>
    <s v="Dodsworth, Anne"/>
    <d v="1997-11-21T00:00:00"/>
    <d v="1997-11-24T00:00:00"/>
    <x v="1"/>
    <n v="87.23"/>
    <s v="Finland"/>
  </r>
  <r>
    <n v="10751"/>
    <s v="Richter Supermarkt"/>
    <s v="Leverling, Janet"/>
    <d v="1997-11-24T00:00:00"/>
    <d v="1997-12-03T00:00:00"/>
    <x v="0"/>
    <n v="143.869"/>
    <s v="Switzerland"/>
  </r>
  <r>
    <n v="10752"/>
    <s v="North/South"/>
    <s v="Fuller, Andrew"/>
    <d v="1997-11-24T00:00:00"/>
    <d v="1997-11-28T00:00:00"/>
    <x v="0"/>
    <n v="1.5289999999999999"/>
    <s v="UK"/>
  </r>
  <r>
    <n v="10753"/>
    <s v="Franchi S.p.A."/>
    <s v="Leverling, Janet"/>
    <d v="1997-11-25T00:00:00"/>
    <d v="1997-11-27T00:00:00"/>
    <x v="1"/>
    <n v="8.4700000000000006"/>
    <s v="Italy"/>
  </r>
  <r>
    <n v="10754"/>
    <s v="Magazzini Alimentari Riuniti"/>
    <s v="Suyama, Michael"/>
    <d v="1997-11-25T00:00:00"/>
    <d v="1997-11-27T00:00:00"/>
    <x v="0"/>
    <n v="2.6179999999999999"/>
    <s v="Italy"/>
  </r>
  <r>
    <n v="10755"/>
    <s v="Bon app'"/>
    <s v="Peacock, Margaret"/>
    <d v="1997-11-26T00:00:00"/>
    <d v="1997-11-28T00:00:00"/>
    <x v="2"/>
    <n v="18.381"/>
    <s v="France"/>
  </r>
  <r>
    <n v="10756"/>
    <s v="Split Rail Beer &amp; Ale"/>
    <s v="Callahan, Laura"/>
    <d v="1997-11-27T00:00:00"/>
    <d v="1997-12-02T00:00:00"/>
    <x v="2"/>
    <n v="80.531000000000006"/>
    <s v="USA"/>
  </r>
  <r>
    <n v="10757"/>
    <s v="Save-a-lot Markets"/>
    <s v="Suyama, Michael"/>
    <d v="1997-11-27T00:00:00"/>
    <d v="1997-12-15T00:00:00"/>
    <x v="1"/>
    <n v="9.0090000000000003"/>
    <s v="USA"/>
  </r>
  <r>
    <n v="10758"/>
    <s v="Richter Supermarkt"/>
    <s v="Leverling, Janet"/>
    <d v="1997-11-28T00:00:00"/>
    <d v="1997-12-04T00:00:00"/>
    <x v="0"/>
    <n v="151.98699999999999"/>
    <s v="Switzerland"/>
  </r>
  <r>
    <n v="10759"/>
    <s v="Ana Trujillo Emparedados y helados"/>
    <s v="Leverling, Janet"/>
    <d v="1997-11-28T00:00:00"/>
    <d v="1997-12-12T00:00:00"/>
    <x v="0"/>
    <n v="13.189"/>
    <s v="Mexico"/>
  </r>
  <r>
    <n v="10760"/>
    <s v="Maison Dewey"/>
    <s v="Peacock, Margaret"/>
    <d v="1997-12-01T00:00:00"/>
    <d v="1997-12-10T00:00:00"/>
    <x v="1"/>
    <n v="171.20400000000001"/>
    <s v="Belgium"/>
  </r>
  <r>
    <n v="10761"/>
    <s v="Rattlesnake Canyon Grocery"/>
    <s v="Buchanan, Steven"/>
    <d v="1997-12-02T00:00:00"/>
    <d v="1997-12-08T00:00:00"/>
    <x v="2"/>
    <n v="20.526"/>
    <s v="USA"/>
  </r>
  <r>
    <n v="10762"/>
    <s v="Folk och fä HB"/>
    <s v="Leverling, Janet"/>
    <d v="1997-12-02T00:00:00"/>
    <d v="1997-12-09T00:00:00"/>
    <x v="1"/>
    <n v="361.61399999999998"/>
    <s v="Sweden"/>
  </r>
  <r>
    <n v="10763"/>
    <s v="Folies gourmandes"/>
    <s v="Leverling, Janet"/>
    <d v="1997-12-03T00:00:00"/>
    <d v="1997-12-08T00:00:00"/>
    <x v="0"/>
    <n v="41.085000000000001"/>
    <s v="France"/>
  </r>
  <r>
    <n v="10764"/>
    <s v="Ernst Handel"/>
    <s v="Suyama, Michael"/>
    <d v="1997-12-03T00:00:00"/>
    <d v="1997-12-08T00:00:00"/>
    <x v="0"/>
    <n v="159.995"/>
    <s v="Austria"/>
  </r>
  <r>
    <n v="10765"/>
    <s v="QUICK-Stop"/>
    <s v="Leverling, Janet"/>
    <d v="1997-12-04T00:00:00"/>
    <d v="1997-12-09T00:00:00"/>
    <x v="0"/>
    <n v="47.014000000000003"/>
    <s v="Germany"/>
  </r>
  <r>
    <n v="10766"/>
    <s v="Ottilies Käseladen"/>
    <s v="Peacock, Margaret"/>
    <d v="1997-12-05T00:00:00"/>
    <d v="1997-12-09T00:00:00"/>
    <x v="1"/>
    <n v="173.30500000000001"/>
    <s v="Germany"/>
  </r>
  <r>
    <n v="10767"/>
    <s v="Suprêmes délices"/>
    <s v="Peacock, Margaret"/>
    <d v="1997-12-05T00:00:00"/>
    <d v="1997-12-15T00:00:00"/>
    <x v="0"/>
    <n v="1.7490000000000001"/>
    <s v="Belgium"/>
  </r>
  <r>
    <n v="10768"/>
    <s v="Around the Horn"/>
    <s v="Leverling, Janet"/>
    <d v="1997-12-08T00:00:00"/>
    <d v="1997-12-15T00:00:00"/>
    <x v="2"/>
    <n v="160.952"/>
    <s v="UK"/>
  </r>
  <r>
    <n v="10769"/>
    <s v="Vaffeljernet"/>
    <s v="Leverling, Janet"/>
    <d v="1997-12-08T00:00:00"/>
    <d v="1997-12-12T00:00:00"/>
    <x v="1"/>
    <n v="71.566000000000003"/>
    <s v="Denmark"/>
  </r>
  <r>
    <n v="10770"/>
    <s v="Hanari Carnes"/>
    <s v="Callahan, Laura"/>
    <d v="1997-12-09T00:00:00"/>
    <d v="1997-12-17T00:00:00"/>
    <x v="0"/>
    <n v="5.8520000000000003"/>
    <s v="Brazil"/>
  </r>
  <r>
    <n v="10771"/>
    <s v="Ernst Handel"/>
    <s v="Dodsworth, Anne"/>
    <d v="1997-12-10T00:00:00"/>
    <d v="1998-01-02T00:00:00"/>
    <x v="2"/>
    <n v="12.308999999999999"/>
    <s v="Austria"/>
  </r>
  <r>
    <n v="10772"/>
    <s v="Lehmanns Marktstand"/>
    <s v="Leverling, Janet"/>
    <d v="1997-12-10T00:00:00"/>
    <d v="1997-12-19T00:00:00"/>
    <x v="2"/>
    <n v="100.408"/>
    <s v="Germany"/>
  </r>
  <r>
    <n v="10773"/>
    <s v="Ernst Handel"/>
    <s v="Davolio, Nancy"/>
    <d v="1997-12-11T00:00:00"/>
    <d v="1997-12-16T00:00:00"/>
    <x v="0"/>
    <n v="106.07299999999999"/>
    <s v="Austria"/>
  </r>
  <r>
    <n v="10774"/>
    <s v="Folk och fä HB"/>
    <s v="Peacock, Margaret"/>
    <d v="1997-12-11T00:00:00"/>
    <d v="1997-12-12T00:00:00"/>
    <x v="1"/>
    <n v="53.02"/>
    <s v="Sweden"/>
  </r>
  <r>
    <n v="10775"/>
    <s v="The Cracker Box"/>
    <s v="King, Robert"/>
    <d v="1997-12-12T00:00:00"/>
    <d v="1997-12-26T00:00:00"/>
    <x v="1"/>
    <n v="22.274999999999999"/>
    <s v="USA"/>
  </r>
  <r>
    <n v="10776"/>
    <s v="Ernst Handel"/>
    <s v="Davolio, Nancy"/>
    <d v="1997-12-15T00:00:00"/>
    <d v="1997-12-18T00:00:00"/>
    <x v="0"/>
    <n v="386.68299999999999"/>
    <s v="Austria"/>
  </r>
  <r>
    <n v="10777"/>
    <s v="Gourmet Lanchonetes"/>
    <s v="King, Robert"/>
    <d v="1997-12-15T00:00:00"/>
    <d v="1998-01-21T00:00:00"/>
    <x v="2"/>
    <n v="3.3109999999999999"/>
    <s v="Brazil"/>
  </r>
  <r>
    <n v="10778"/>
    <s v="Berglunds snabbköp"/>
    <s v="Leverling, Janet"/>
    <d v="1997-12-16T00:00:00"/>
    <d v="1997-12-24T00:00:00"/>
    <x v="1"/>
    <n v="7.4690000000000003"/>
    <s v="Sweden"/>
  </r>
  <r>
    <n v="10779"/>
    <s v="Morgenstern Gesundkost"/>
    <s v="Leverling, Janet"/>
    <d v="1997-12-16T00:00:00"/>
    <d v="1998-01-14T00:00:00"/>
    <x v="2"/>
    <n v="63.942999999999998"/>
    <s v="Germany"/>
  </r>
  <r>
    <n v="10780"/>
    <s v="LILA-Supermercado"/>
    <s v="Fuller, Andrew"/>
    <d v="1997-12-16T00:00:00"/>
    <d v="1997-12-25T00:00:00"/>
    <x v="1"/>
    <n v="46.343000000000004"/>
    <s v="Venezuela"/>
  </r>
  <r>
    <n v="10781"/>
    <s v="Wartian Herkku"/>
    <s v="Fuller, Andrew"/>
    <d v="1997-12-17T00:00:00"/>
    <d v="1997-12-19T00:00:00"/>
    <x v="0"/>
    <n v="80.475999999999999"/>
    <s v="Finland"/>
  </r>
  <r>
    <n v="10782"/>
    <s v="Cactus Comidas para llevar"/>
    <s v="Dodsworth, Anne"/>
    <d v="1997-12-17T00:00:00"/>
    <d v="1997-12-22T00:00:00"/>
    <x v="0"/>
    <n v="1.21"/>
    <s v="Argentina"/>
  </r>
  <r>
    <n v="10783"/>
    <s v="Hanari Carnes"/>
    <s v="Peacock, Margaret"/>
    <d v="1997-12-18T00:00:00"/>
    <d v="1997-12-19T00:00:00"/>
    <x v="2"/>
    <n v="137.47800000000001"/>
    <s v="Brazil"/>
  </r>
  <r>
    <n v="10784"/>
    <s v="Magazzini Alimentari Riuniti"/>
    <s v="Peacock, Margaret"/>
    <d v="1997-12-18T00:00:00"/>
    <d v="1997-12-22T00:00:00"/>
    <x v="0"/>
    <n v="77.099000000000004"/>
    <s v="Italy"/>
  </r>
  <r>
    <n v="10785"/>
    <s v="GROSELLA-Restaurante"/>
    <s v="Davolio, Nancy"/>
    <d v="1997-12-18T00:00:00"/>
    <d v="1997-12-24T00:00:00"/>
    <x v="0"/>
    <n v="1.661"/>
    <s v="Venezuela"/>
  </r>
  <r>
    <n v="10786"/>
    <s v="Queen Cozinha"/>
    <s v="Callahan, Laura"/>
    <d v="1997-12-19T00:00:00"/>
    <d v="1997-12-23T00:00:00"/>
    <x v="1"/>
    <n v="121.95699999999999"/>
    <s v="Brazil"/>
  </r>
  <r>
    <n v="10787"/>
    <s v="La maison d'Asie"/>
    <s v="Fuller, Andrew"/>
    <d v="1997-12-19T00:00:00"/>
    <d v="1997-12-26T00:00:00"/>
    <x v="1"/>
    <n v="274.923"/>
    <s v="France"/>
  </r>
  <r>
    <n v="10788"/>
    <s v="QUICK-Stop"/>
    <s v="Davolio, Nancy"/>
    <d v="1997-12-22T00:00:00"/>
    <d v="1998-01-19T00:00:00"/>
    <x v="2"/>
    <n v="46.97"/>
    <s v="Germany"/>
  </r>
  <r>
    <n v="10789"/>
    <s v="Folies gourmandes"/>
    <s v="Davolio, Nancy"/>
    <d v="1997-12-22T00:00:00"/>
    <d v="1997-12-31T00:00:00"/>
    <x v="2"/>
    <n v="110.66"/>
    <s v="France"/>
  </r>
  <r>
    <n v="10790"/>
    <s v="Gourmet Lanchonetes"/>
    <s v="Suyama, Michael"/>
    <d v="1997-12-22T00:00:00"/>
    <d v="1997-12-26T00:00:00"/>
    <x v="1"/>
    <n v="31.053000000000001"/>
    <s v="Brazil"/>
  </r>
  <r>
    <n v="10791"/>
    <s v="Frankenversand"/>
    <s v="Suyama, Michael"/>
    <d v="1997-12-23T00:00:00"/>
    <d v="1998-01-01T00:00:00"/>
    <x v="2"/>
    <n v="18.535"/>
    <s v="Germany"/>
  </r>
  <r>
    <n v="10792"/>
    <s v="Wolski  Zajazd"/>
    <s v="Davolio, Nancy"/>
    <d v="1997-12-23T00:00:00"/>
    <d v="1997-12-31T00:00:00"/>
    <x v="0"/>
    <n v="26.169"/>
    <s v="Poland"/>
  </r>
  <r>
    <n v="10793"/>
    <s v="Around the Horn"/>
    <s v="Leverling, Janet"/>
    <d v="1997-12-24T00:00:00"/>
    <d v="1998-01-08T00:00:00"/>
    <x v="0"/>
    <n v="4.9720000000000004"/>
    <s v="UK"/>
  </r>
  <r>
    <n v="10794"/>
    <s v="Que Delícia"/>
    <s v="Suyama, Michael"/>
    <d v="1997-12-24T00:00:00"/>
    <d v="1998-01-02T00:00:00"/>
    <x v="1"/>
    <n v="23.638999999999999"/>
    <s v="Brazil"/>
  </r>
  <r>
    <n v="10795"/>
    <s v="Ernst Handel"/>
    <s v="Callahan, Laura"/>
    <d v="1997-12-24T00:00:00"/>
    <d v="1998-01-20T00:00:00"/>
    <x v="2"/>
    <n v="139.32599999999999"/>
    <s v="Austria"/>
  </r>
  <r>
    <n v="10796"/>
    <s v="HILARIÓN-Abastos"/>
    <s v="Leverling, Janet"/>
    <d v="1997-12-25T00:00:00"/>
    <d v="1998-01-14T00:00:00"/>
    <x v="1"/>
    <n v="29.172000000000001"/>
    <s v="Venezuela"/>
  </r>
  <r>
    <n v="10797"/>
    <s v="Drachenblut Delikatessen"/>
    <s v="King, Robert"/>
    <d v="1997-12-25T00:00:00"/>
    <d v="1998-01-05T00:00:00"/>
    <x v="2"/>
    <n v="36.685000000000002"/>
    <s v="Germany"/>
  </r>
  <r>
    <n v="10798"/>
    <s v="Island Trading"/>
    <s v="Fuller, Andrew"/>
    <d v="1997-12-26T00:00:00"/>
    <d v="1998-01-05T00:00:00"/>
    <x v="1"/>
    <n v="2.5630000000000002"/>
    <s v="UK"/>
  </r>
  <r>
    <n v="10799"/>
    <s v="Königlich Essen"/>
    <s v="Dodsworth, Anne"/>
    <d v="1997-12-26T00:00:00"/>
    <d v="1998-01-05T00:00:00"/>
    <x v="0"/>
    <n v="33.835999999999999"/>
    <s v="Germany"/>
  </r>
  <r>
    <n v="10800"/>
    <s v="Seven Seas Imports"/>
    <s v="Davolio, Nancy"/>
    <d v="1997-12-26T00:00:00"/>
    <d v="1998-01-05T00:00:00"/>
    <x v="0"/>
    <n v="151.184"/>
    <s v="UK"/>
  </r>
  <r>
    <n v="10801"/>
    <s v="Bólido Comidas preparadas"/>
    <s v="Peacock, Margaret"/>
    <d v="1997-12-29T00:00:00"/>
    <d v="1997-12-31T00:00:00"/>
    <x v="2"/>
    <n v="106.79900000000001"/>
    <s v="Spain"/>
  </r>
  <r>
    <n v="10802"/>
    <s v="Simons bistro"/>
    <s v="Peacock, Margaret"/>
    <d v="1997-12-29T00:00:00"/>
    <d v="1998-01-02T00:00:00"/>
    <x v="2"/>
    <n v="282.98599999999999"/>
    <s v="Denmark"/>
  </r>
  <r>
    <n v="10803"/>
    <s v="Wellington Importadora"/>
    <s v="Peacock, Margaret"/>
    <d v="1997-12-30T00:00:00"/>
    <d v="1998-01-06T00:00:00"/>
    <x v="1"/>
    <n v="60.753"/>
    <s v="Brazil"/>
  </r>
  <r>
    <n v="10804"/>
    <s v="Seven Seas Imports"/>
    <s v="Suyama, Michael"/>
    <d v="1997-12-30T00:00:00"/>
    <d v="1998-01-07T00:00:00"/>
    <x v="2"/>
    <n v="30.062999999999999"/>
    <s v="UK"/>
  </r>
  <r>
    <n v="10805"/>
    <s v="The Big Cheese"/>
    <s v="Fuller, Andrew"/>
    <d v="1997-12-30T00:00:00"/>
    <d v="1998-01-09T00:00:00"/>
    <x v="0"/>
    <n v="261.07400000000001"/>
    <s v="USA"/>
  </r>
  <r>
    <n v="10806"/>
    <s v="Victuailles en stock"/>
    <s v="Leverling, Janet"/>
    <d v="1997-12-31T00:00:00"/>
    <d v="1998-01-05T00:00:00"/>
    <x v="2"/>
    <n v="24.321000000000002"/>
    <s v="France"/>
  </r>
  <r>
    <n v="10807"/>
    <s v="Franchi S.p.A."/>
    <s v="Peacock, Margaret"/>
    <d v="1997-12-31T00:00:00"/>
    <d v="1998-01-30T00:00:00"/>
    <x v="1"/>
    <n v="1.496"/>
    <s v="Italy"/>
  </r>
  <r>
    <n v="10808"/>
    <s v="Princesa Isabel Vinhos"/>
    <s v="Fuller, Andrew"/>
    <d v="1998-01-01T00:00:00"/>
    <d v="1998-01-09T00:00:00"/>
    <x v="0"/>
    <n v="50.082999999999998"/>
    <s v="USA"/>
  </r>
  <r>
    <n v="10809"/>
    <s v="Wellington Importadora"/>
    <s v="King, Robert"/>
    <d v="1998-01-01T00:00:00"/>
    <d v="1998-01-07T00:00:00"/>
    <x v="1"/>
    <n v="5.3570000000000002"/>
    <s v="Brazil"/>
  </r>
  <r>
    <n v="10810"/>
    <s v="Laughing Bacchus Wine Cellars"/>
    <s v="Fuller, Andrew"/>
    <d v="1998-01-01T00:00:00"/>
    <d v="1998-01-07T00:00:00"/>
    <x v="0"/>
    <n v="4.7629999999999999"/>
    <s v="Canada"/>
  </r>
  <r>
    <n v="10811"/>
    <s v="LINO-Delicateses"/>
    <s v="Callahan, Laura"/>
    <d v="1998-01-02T00:00:00"/>
    <d v="1998-01-08T00:00:00"/>
    <x v="1"/>
    <n v="34.341999999999999"/>
    <s v="Venezuela"/>
  </r>
  <r>
    <n v="10812"/>
    <s v="Reggiani Caseifici"/>
    <s v="Buchanan, Steven"/>
    <d v="1998-01-02T00:00:00"/>
    <d v="1998-01-12T00:00:00"/>
    <x v="1"/>
    <n v="65.757999999999996"/>
    <s v="Italy"/>
  </r>
  <r>
    <n v="10813"/>
    <s v="Ricardo Adocicados"/>
    <s v="Davolio, Nancy"/>
    <d v="1998-01-05T00:00:00"/>
    <d v="1998-01-09T00:00:00"/>
    <x v="1"/>
    <n v="52.118000000000002"/>
    <s v="Brazil"/>
  </r>
  <r>
    <n v="10814"/>
    <s v="Victuailles en stock"/>
    <s v="Leverling, Janet"/>
    <d v="1998-01-05T00:00:00"/>
    <d v="1998-01-14T00:00:00"/>
    <x v="0"/>
    <n v="144.03399999999999"/>
    <s v="France"/>
  </r>
  <r>
    <n v="10815"/>
    <s v="Save-a-lot Markets"/>
    <s v="Fuller, Andrew"/>
    <d v="1998-01-05T00:00:00"/>
    <d v="1998-01-14T00:00:00"/>
    <x v="0"/>
    <n v="16.082000000000001"/>
    <s v="USA"/>
  </r>
  <r>
    <n v="10816"/>
    <s v="Great Lakes Food Market"/>
    <s v="Peacock, Margaret"/>
    <d v="1998-01-06T00:00:00"/>
    <d v="1998-02-04T00:00:00"/>
    <x v="2"/>
    <n v="791.75800000000004"/>
    <s v="USA"/>
  </r>
  <r>
    <n v="10817"/>
    <s v="Königlich Essen"/>
    <s v="Leverling, Janet"/>
    <d v="1998-01-06T00:00:00"/>
    <d v="1998-01-13T00:00:00"/>
    <x v="2"/>
    <n v="336.67700000000002"/>
    <s v="Germany"/>
  </r>
  <r>
    <n v="10818"/>
    <s v="Magazzini Alimentari Riuniti"/>
    <s v="King, Robert"/>
    <d v="1998-01-07T00:00:00"/>
    <d v="1998-01-12T00:00:00"/>
    <x v="0"/>
    <n v="72.028000000000006"/>
    <s v="Italy"/>
  </r>
  <r>
    <n v="10819"/>
    <s v="Cactus Comidas para llevar"/>
    <s v="Fuller, Andrew"/>
    <d v="1998-01-07T00:00:00"/>
    <d v="1998-01-16T00:00:00"/>
    <x v="0"/>
    <n v="21.736000000000001"/>
    <s v="Argentina"/>
  </r>
  <r>
    <n v="10820"/>
    <s v="Rattlesnake Canyon Grocery"/>
    <s v="Leverling, Janet"/>
    <d v="1998-01-07T00:00:00"/>
    <d v="1998-01-13T00:00:00"/>
    <x v="2"/>
    <n v="41.271999999999998"/>
    <s v="USA"/>
  </r>
  <r>
    <n v="10821"/>
    <s v="Split Rail Beer &amp; Ale"/>
    <s v="Davolio, Nancy"/>
    <d v="1998-01-08T00:00:00"/>
    <d v="1998-01-15T00:00:00"/>
    <x v="1"/>
    <n v="40.347999999999999"/>
    <s v="USA"/>
  </r>
  <r>
    <n v="10822"/>
    <s v="Trail's Head Gourmet Provisioners"/>
    <s v="Suyama, Michael"/>
    <d v="1998-01-08T00:00:00"/>
    <d v="1998-01-16T00:00:00"/>
    <x v="0"/>
    <n v="7.7"/>
    <s v="USA"/>
  </r>
  <r>
    <n v="10823"/>
    <s v="LILA-Supermercado"/>
    <s v="Buchanan, Steven"/>
    <d v="1998-01-09T00:00:00"/>
    <d v="1998-01-13T00:00:00"/>
    <x v="2"/>
    <n v="180.36699999999999"/>
    <s v="Venezuela"/>
  </r>
  <r>
    <n v="10824"/>
    <s v="Folk och fä HB"/>
    <s v="Callahan, Laura"/>
    <d v="1998-01-09T00:00:00"/>
    <d v="1998-01-30T00:00:00"/>
    <x v="1"/>
    <n v="1.353"/>
    <s v="Sweden"/>
  </r>
  <r>
    <n v="10825"/>
    <s v="Drachenblut Delikatessen"/>
    <s v="Davolio, Nancy"/>
    <d v="1998-01-09T00:00:00"/>
    <d v="1998-01-14T00:00:00"/>
    <x v="1"/>
    <n v="87.174999999999997"/>
    <s v="Germany"/>
  </r>
  <r>
    <n v="10826"/>
    <s v="Blondel père et fils"/>
    <s v="Suyama, Michael"/>
    <d v="1998-01-12T00:00:00"/>
    <d v="1998-02-06T00:00:00"/>
    <x v="1"/>
    <n v="7.7990000000000004"/>
    <s v="France"/>
  </r>
  <r>
    <n v="10827"/>
    <s v="Bon app'"/>
    <s v="Davolio, Nancy"/>
    <d v="1998-01-12T00:00:00"/>
    <d v="1998-02-06T00:00:00"/>
    <x v="2"/>
    <n v="69.894000000000005"/>
    <s v="France"/>
  </r>
  <r>
    <n v="10828"/>
    <s v="Rancho grande"/>
    <s v="Dodsworth, Anne"/>
    <d v="1998-01-13T00:00:00"/>
    <d v="1998-02-04T00:00:00"/>
    <x v="1"/>
    <n v="99.935000000000002"/>
    <s v="Argentina"/>
  </r>
  <r>
    <n v="10829"/>
    <s v="Island Trading"/>
    <s v="Dodsworth, Anne"/>
    <d v="1998-01-13T00:00:00"/>
    <d v="1998-01-23T00:00:00"/>
    <x v="1"/>
    <n v="170.19200000000001"/>
    <s v="UK"/>
  </r>
  <r>
    <n v="10830"/>
    <s v="Tradição Hipermercados"/>
    <s v="Peacock, Margaret"/>
    <d v="1998-01-13T00:00:00"/>
    <d v="1998-01-21T00:00:00"/>
    <x v="2"/>
    <n v="90.013000000000005"/>
    <s v="Brazil"/>
  </r>
  <r>
    <n v="10831"/>
    <s v="Santé Gourmet"/>
    <s v="Leverling, Janet"/>
    <d v="1998-01-14T00:00:00"/>
    <d v="1998-01-23T00:00:00"/>
    <x v="2"/>
    <n v="79.409000000000006"/>
    <s v="Norway"/>
  </r>
  <r>
    <n v="10832"/>
    <s v="La maison d'Asie"/>
    <s v="Fuller, Andrew"/>
    <d v="1998-01-14T00:00:00"/>
    <d v="1998-01-19T00:00:00"/>
    <x v="2"/>
    <n v="47.585999999999999"/>
    <s v="France"/>
  </r>
  <r>
    <n v="10833"/>
    <s v="Ottilies Käseladen"/>
    <s v="Suyama, Michael"/>
    <d v="1998-01-15T00:00:00"/>
    <d v="1998-01-23T00:00:00"/>
    <x v="2"/>
    <n v="78.638999999999996"/>
    <s v="Germany"/>
  </r>
  <r>
    <n v="10834"/>
    <s v="Tradição Hipermercados"/>
    <s v="Davolio, Nancy"/>
    <d v="1998-01-15T00:00:00"/>
    <d v="1998-01-19T00:00:00"/>
    <x v="0"/>
    <n v="32.758000000000003"/>
    <s v="Brazil"/>
  </r>
  <r>
    <n v="10835"/>
    <s v="Alfreds Futterkiste"/>
    <s v="Davolio, Nancy"/>
    <d v="1998-01-15T00:00:00"/>
    <d v="1998-01-21T00:00:00"/>
    <x v="0"/>
    <n v="76.483000000000004"/>
    <s v="Germany"/>
  </r>
  <r>
    <n v="10836"/>
    <s v="Ernst Handel"/>
    <s v="King, Robert"/>
    <d v="1998-01-16T00:00:00"/>
    <d v="1998-01-21T00:00:00"/>
    <x v="1"/>
    <n v="453.06799999999998"/>
    <s v="Austria"/>
  </r>
  <r>
    <n v="10837"/>
    <s v="Berglunds snabbköp"/>
    <s v="Dodsworth, Anne"/>
    <d v="1998-01-16T00:00:00"/>
    <d v="1998-01-23T00:00:00"/>
    <x v="0"/>
    <n v="14.651999999999999"/>
    <s v="Sweden"/>
  </r>
  <r>
    <n v="10838"/>
    <s v="LINO-Delicateses"/>
    <s v="Leverling, Janet"/>
    <d v="1998-01-19T00:00:00"/>
    <d v="1998-01-23T00:00:00"/>
    <x v="0"/>
    <n v="65.207999999999998"/>
    <s v="Venezuela"/>
  </r>
  <r>
    <n v="10839"/>
    <s v="Tradição Hipermercados"/>
    <s v="Leverling, Janet"/>
    <d v="1998-01-19T00:00:00"/>
    <d v="1998-01-22T00:00:00"/>
    <x v="0"/>
    <n v="38.972999999999999"/>
    <s v="Brazil"/>
  </r>
  <r>
    <n v="10840"/>
    <s v="LINO-Delicateses"/>
    <s v="Peacock, Margaret"/>
    <d v="1998-01-19T00:00:00"/>
    <d v="1998-02-16T00:00:00"/>
    <x v="2"/>
    <n v="2.9809999999999999"/>
    <s v="Venezuela"/>
  </r>
  <r>
    <n v="10841"/>
    <s v="Suprêmes délices"/>
    <s v="Buchanan, Steven"/>
    <d v="1998-01-20T00:00:00"/>
    <d v="1998-01-29T00:00:00"/>
    <x v="2"/>
    <n v="466.73"/>
    <s v="Belgium"/>
  </r>
  <r>
    <n v="10842"/>
    <s v="Tortuga Restaurante"/>
    <s v="Davolio, Nancy"/>
    <d v="1998-01-20T00:00:00"/>
    <d v="1998-01-29T00:00:00"/>
    <x v="0"/>
    <n v="59.862000000000002"/>
    <s v="Mexico"/>
  </r>
  <r>
    <n v="10843"/>
    <s v="Victuailles en stock"/>
    <s v="Peacock, Margaret"/>
    <d v="1998-01-21T00:00:00"/>
    <d v="1998-01-26T00:00:00"/>
    <x v="2"/>
    <n v="10.186"/>
    <s v="France"/>
  </r>
  <r>
    <n v="10844"/>
    <s v="Piccolo und mehr"/>
    <s v="Callahan, Laura"/>
    <d v="1998-01-21T00:00:00"/>
    <d v="1998-01-26T00:00:00"/>
    <x v="2"/>
    <n v="27.742000000000001"/>
    <s v="Austria"/>
  </r>
  <r>
    <n v="10845"/>
    <s v="QUICK-Stop"/>
    <s v="Callahan, Laura"/>
    <d v="1998-01-21T00:00:00"/>
    <d v="1998-01-30T00:00:00"/>
    <x v="1"/>
    <n v="234.27799999999999"/>
    <s v="Germany"/>
  </r>
  <r>
    <n v="10846"/>
    <s v="Suprêmes délices"/>
    <s v="Fuller, Andrew"/>
    <d v="1998-01-22T00:00:00"/>
    <d v="1998-01-23T00:00:00"/>
    <x v="0"/>
    <n v="62.106000000000002"/>
    <s v="Belgium"/>
  </r>
  <r>
    <n v="10847"/>
    <s v="Save-a-lot Markets"/>
    <s v="Peacock, Margaret"/>
    <d v="1998-01-22T00:00:00"/>
    <d v="1998-02-10T00:00:00"/>
    <x v="0"/>
    <n v="536.327"/>
    <s v="USA"/>
  </r>
  <r>
    <n v="10848"/>
    <s v="Consolidated Holdings"/>
    <s v="King, Robert"/>
    <d v="1998-01-23T00:00:00"/>
    <d v="1998-01-29T00:00:00"/>
    <x v="2"/>
    <n v="42.064"/>
    <s v="UK"/>
  </r>
  <r>
    <n v="10849"/>
    <s v="Königlich Essen"/>
    <s v="Dodsworth, Anne"/>
    <d v="1998-01-23T00:00:00"/>
    <d v="1998-01-30T00:00:00"/>
    <x v="2"/>
    <n v="0.61599999999999999"/>
    <s v="Germany"/>
  </r>
  <r>
    <n v="10850"/>
    <s v="Victuailles en stock"/>
    <s v="Davolio, Nancy"/>
    <d v="1998-01-23T00:00:00"/>
    <d v="1998-01-30T00:00:00"/>
    <x v="1"/>
    <n v="54.109000000000002"/>
    <s v="France"/>
  </r>
  <r>
    <n v="10851"/>
    <s v="Ricardo Adocicados"/>
    <s v="Buchanan, Steven"/>
    <d v="1998-01-26T00:00:00"/>
    <d v="1998-02-02T00:00:00"/>
    <x v="1"/>
    <n v="176.60499999999999"/>
    <s v="Brazil"/>
  </r>
  <r>
    <n v="10852"/>
    <s v="Rattlesnake Canyon Grocery"/>
    <s v="Callahan, Laura"/>
    <d v="1998-01-26T00:00:00"/>
    <d v="1998-01-30T00:00:00"/>
    <x v="1"/>
    <n v="191.45500000000001"/>
    <s v="USA"/>
  </r>
  <r>
    <n v="10853"/>
    <s v="Blauer See Delikatessen"/>
    <s v="Dodsworth, Anne"/>
    <d v="1998-01-27T00:00:00"/>
    <d v="1998-02-03T00:00:00"/>
    <x v="2"/>
    <n v="59.213000000000001"/>
    <s v="Germany"/>
  </r>
  <r>
    <n v="10854"/>
    <s v="Ernst Handel"/>
    <s v="Leverling, Janet"/>
    <d v="1998-01-27T00:00:00"/>
    <d v="1998-02-05T00:00:00"/>
    <x v="2"/>
    <n v="110.242"/>
    <s v="Austria"/>
  </r>
  <r>
    <n v="10855"/>
    <s v="Old World Delicatessen"/>
    <s v="Leverling, Janet"/>
    <d v="1998-01-27T00:00:00"/>
    <d v="1998-02-04T00:00:00"/>
    <x v="1"/>
    <n v="188.06700000000001"/>
    <s v="USA"/>
  </r>
  <r>
    <n v="10856"/>
    <s v="Antonio Moreno Taquería"/>
    <s v="Leverling, Janet"/>
    <d v="1998-01-28T00:00:00"/>
    <d v="1998-02-10T00:00:00"/>
    <x v="2"/>
    <n v="64.272999999999996"/>
    <s v="Mexico"/>
  </r>
  <r>
    <n v="10857"/>
    <s v="Berglunds snabbköp"/>
    <s v="Callahan, Laura"/>
    <d v="1998-01-28T00:00:00"/>
    <d v="1998-02-06T00:00:00"/>
    <x v="2"/>
    <n v="207.73500000000001"/>
    <s v="Sweden"/>
  </r>
  <r>
    <n v="10858"/>
    <s v="La corne d'abondance"/>
    <s v="Fuller, Andrew"/>
    <d v="1998-01-29T00:00:00"/>
    <d v="1998-02-03T00:00:00"/>
    <x v="1"/>
    <n v="57.761000000000003"/>
    <s v="France"/>
  </r>
  <r>
    <n v="10859"/>
    <s v="Frankenversand"/>
    <s v="Davolio, Nancy"/>
    <d v="1998-01-29T00:00:00"/>
    <d v="1998-02-02T00:00:00"/>
    <x v="2"/>
    <n v="83.71"/>
    <s v="Germany"/>
  </r>
  <r>
    <n v="10860"/>
    <s v="France restauration"/>
    <s v="Leverling, Janet"/>
    <d v="1998-01-29T00:00:00"/>
    <d v="1998-02-04T00:00:00"/>
    <x v="0"/>
    <n v="21.186"/>
    <s v="France"/>
  </r>
  <r>
    <n v="10861"/>
    <s v="White Clover Markets"/>
    <s v="Peacock, Margaret"/>
    <d v="1998-01-30T00:00:00"/>
    <d v="1998-02-17T00:00:00"/>
    <x v="2"/>
    <n v="16.422999999999998"/>
    <s v="USA"/>
  </r>
  <r>
    <n v="10862"/>
    <s v="Lehmanns Marktstand"/>
    <s v="Callahan, Laura"/>
    <d v="1998-01-30T00:00:00"/>
    <d v="1998-02-02T00:00:00"/>
    <x v="2"/>
    <n v="58.552999999999997"/>
    <s v="Germany"/>
  </r>
  <r>
    <n v="10863"/>
    <s v="HILARIÓN-Abastos"/>
    <s v="Peacock, Margaret"/>
    <d v="1998-02-02T00:00:00"/>
    <d v="1998-02-17T00:00:00"/>
    <x v="2"/>
    <n v="33.286000000000001"/>
    <s v="Venezuela"/>
  </r>
  <r>
    <n v="10864"/>
    <s v="Around the Horn"/>
    <s v="Peacock, Margaret"/>
    <d v="1998-02-02T00:00:00"/>
    <d v="1998-02-09T00:00:00"/>
    <x v="2"/>
    <n v="3.3439999999999999"/>
    <s v="UK"/>
  </r>
  <r>
    <n v="10865"/>
    <s v="QUICK-Stop"/>
    <s v="Fuller, Andrew"/>
    <d v="1998-02-02T00:00:00"/>
    <d v="1998-02-12T00:00:00"/>
    <x v="1"/>
    <n v="382.95400000000001"/>
    <s v="Germany"/>
  </r>
  <r>
    <n v="10866"/>
    <s v="Berglunds snabbköp"/>
    <s v="Buchanan, Steven"/>
    <d v="1998-02-03T00:00:00"/>
    <d v="1998-02-12T00:00:00"/>
    <x v="1"/>
    <n v="120.021"/>
    <s v="Sweden"/>
  </r>
  <r>
    <n v="10867"/>
    <s v="Lonesome Pine Restaurant"/>
    <s v="Suyama, Michael"/>
    <d v="1998-02-03T00:00:00"/>
    <d v="1998-02-11T00:00:00"/>
    <x v="1"/>
    <n v="2.1230000000000002"/>
    <s v="USA"/>
  </r>
  <r>
    <n v="10868"/>
    <s v="Queen Cozinha"/>
    <s v="King, Robert"/>
    <d v="1998-02-04T00:00:00"/>
    <d v="1998-02-23T00:00:00"/>
    <x v="2"/>
    <n v="210.39699999999999"/>
    <s v="Brazil"/>
  </r>
  <r>
    <n v="10869"/>
    <s v="Seven Seas Imports"/>
    <s v="Buchanan, Steven"/>
    <d v="1998-02-04T00:00:00"/>
    <d v="1998-02-09T00:00:00"/>
    <x v="1"/>
    <n v="157.608"/>
    <s v="UK"/>
  </r>
  <r>
    <n v="10870"/>
    <s v="Wolski  Zajazd"/>
    <s v="Buchanan, Steven"/>
    <d v="1998-02-04T00:00:00"/>
    <d v="1998-02-13T00:00:00"/>
    <x v="0"/>
    <n v="13.244"/>
    <s v="Poland"/>
  </r>
  <r>
    <n v="10871"/>
    <s v="Bon app'"/>
    <s v="Dodsworth, Anne"/>
    <d v="1998-02-05T00:00:00"/>
    <d v="1998-02-10T00:00:00"/>
    <x v="2"/>
    <n v="123.497"/>
    <s v="France"/>
  </r>
  <r>
    <n v="10872"/>
    <s v="Godos Cocina Típica"/>
    <s v="Buchanan, Steven"/>
    <d v="1998-02-05T00:00:00"/>
    <d v="1998-02-09T00:00:00"/>
    <x v="2"/>
    <n v="192.852"/>
    <s v="Spain"/>
  </r>
  <r>
    <n v="10873"/>
    <s v="Wilman Kala"/>
    <s v="Peacock, Margaret"/>
    <d v="1998-02-06T00:00:00"/>
    <d v="1998-02-09T00:00:00"/>
    <x v="1"/>
    <n v="0.90200000000000002"/>
    <s v="Finland"/>
  </r>
  <r>
    <n v="10874"/>
    <s v="Godos Cocina Típica"/>
    <s v="Buchanan, Steven"/>
    <d v="1998-02-06T00:00:00"/>
    <d v="1998-02-11T00:00:00"/>
    <x v="2"/>
    <n v="21.538"/>
    <s v="Spain"/>
  </r>
  <r>
    <n v="10875"/>
    <s v="Berglunds snabbköp"/>
    <s v="Peacock, Margaret"/>
    <d v="1998-02-06T00:00:00"/>
    <d v="1998-03-03T00:00:00"/>
    <x v="2"/>
    <n v="35.606999999999999"/>
    <s v="Sweden"/>
  </r>
  <r>
    <n v="10876"/>
    <s v="Bon app'"/>
    <s v="King, Robert"/>
    <d v="1998-02-09T00:00:00"/>
    <d v="1998-02-12T00:00:00"/>
    <x v="0"/>
    <n v="66.462000000000003"/>
    <s v="France"/>
  </r>
  <r>
    <n v="10877"/>
    <s v="Ricardo Adocicados"/>
    <s v="Davolio, Nancy"/>
    <d v="1998-02-09T00:00:00"/>
    <d v="1998-02-19T00:00:00"/>
    <x v="1"/>
    <n v="41.866"/>
    <s v="Brazil"/>
  </r>
  <r>
    <n v="10878"/>
    <s v="QUICK-Stop"/>
    <s v="Peacock, Margaret"/>
    <d v="1998-02-10T00:00:00"/>
    <d v="1998-02-12T00:00:00"/>
    <x v="1"/>
    <n v="51.359000000000002"/>
    <s v="Germany"/>
  </r>
  <r>
    <n v="10879"/>
    <s v="Wilman Kala"/>
    <s v="Leverling, Janet"/>
    <d v="1998-02-10T00:00:00"/>
    <d v="1998-02-12T00:00:00"/>
    <x v="0"/>
    <n v="9.35"/>
    <s v="Finland"/>
  </r>
  <r>
    <n v="10880"/>
    <s v="Folk och fä HB"/>
    <s v="King, Robert"/>
    <d v="1998-02-10T00:00:00"/>
    <d v="1998-02-18T00:00:00"/>
    <x v="1"/>
    <n v="96.811000000000007"/>
    <s v="Sweden"/>
  </r>
  <r>
    <n v="10881"/>
    <s v="Cactus Comidas para llevar"/>
    <s v="Peacock, Margaret"/>
    <d v="1998-02-11T00:00:00"/>
    <d v="1998-02-18T00:00:00"/>
    <x v="1"/>
    <n v="3.1240000000000001"/>
    <s v="Argentina"/>
  </r>
  <r>
    <n v="10882"/>
    <s v="Save-a-lot Markets"/>
    <s v="Peacock, Margaret"/>
    <d v="1998-02-11T00:00:00"/>
    <d v="1998-02-20T00:00:00"/>
    <x v="0"/>
    <n v="25.41"/>
    <s v="USA"/>
  </r>
  <r>
    <n v="10883"/>
    <s v="Lonesome Pine Restaurant"/>
    <s v="Callahan, Laura"/>
    <d v="1998-02-12T00:00:00"/>
    <d v="1998-02-20T00:00:00"/>
    <x v="0"/>
    <n v="0.58299999999999996"/>
    <s v="USA"/>
  </r>
  <r>
    <n v="10884"/>
    <s v="Let's Stop N Shop"/>
    <s v="Peacock, Margaret"/>
    <d v="1998-02-12T00:00:00"/>
    <d v="1998-02-13T00:00:00"/>
    <x v="2"/>
    <n v="100.06699999999999"/>
    <s v="USA"/>
  </r>
  <r>
    <n v="10885"/>
    <s v="Suprêmes délices"/>
    <s v="Suyama, Michael"/>
    <d v="1998-02-12T00:00:00"/>
    <d v="1998-02-18T00:00:00"/>
    <x v="0"/>
    <n v="6.2039999999999997"/>
    <s v="Belgium"/>
  </r>
  <r>
    <n v="10886"/>
    <s v="Hanari Carnes"/>
    <s v="Davolio, Nancy"/>
    <d v="1998-02-13T00:00:00"/>
    <d v="1998-03-02T00:00:00"/>
    <x v="1"/>
    <n v="5.4889999999999999"/>
    <s v="Brazil"/>
  </r>
  <r>
    <n v="10887"/>
    <s v="Galería del gastrónomo"/>
    <s v="Callahan, Laura"/>
    <d v="1998-02-13T00:00:00"/>
    <d v="1998-02-16T00:00:00"/>
    <x v="0"/>
    <n v="1.375"/>
    <s v="Spain"/>
  </r>
  <r>
    <n v="10888"/>
    <s v="Godos Cocina Típica"/>
    <s v="Davolio, Nancy"/>
    <d v="1998-02-16T00:00:00"/>
    <d v="1998-02-23T00:00:00"/>
    <x v="2"/>
    <n v="57.057000000000002"/>
    <s v="Spain"/>
  </r>
  <r>
    <n v="10889"/>
    <s v="Rattlesnake Canyon Grocery"/>
    <s v="Dodsworth, Anne"/>
    <d v="1998-02-16T00:00:00"/>
    <d v="1998-02-23T00:00:00"/>
    <x v="0"/>
    <n v="308.67099999999999"/>
    <s v="USA"/>
  </r>
  <r>
    <n v="10890"/>
    <s v="Du monde entier"/>
    <s v="King, Robert"/>
    <d v="1998-02-16T00:00:00"/>
    <d v="1998-02-18T00:00:00"/>
    <x v="1"/>
    <n v="36.036000000000001"/>
    <s v="France"/>
  </r>
  <r>
    <n v="10891"/>
    <s v="Lehmanns Marktstand"/>
    <s v="King, Robert"/>
    <d v="1998-02-17T00:00:00"/>
    <d v="1998-02-19T00:00:00"/>
    <x v="2"/>
    <n v="22.407"/>
    <s v="Germany"/>
  </r>
  <r>
    <n v="10892"/>
    <s v="Maison Dewey"/>
    <s v="Peacock, Margaret"/>
    <d v="1998-02-17T00:00:00"/>
    <d v="1998-02-19T00:00:00"/>
    <x v="2"/>
    <n v="132.297"/>
    <s v="Belgium"/>
  </r>
  <r>
    <n v="10893"/>
    <s v="Königlich Essen"/>
    <s v="Dodsworth, Anne"/>
    <d v="1998-02-18T00:00:00"/>
    <d v="1998-02-20T00:00:00"/>
    <x v="2"/>
    <n v="85.558000000000007"/>
    <s v="Germany"/>
  </r>
  <r>
    <n v="10894"/>
    <s v="Save-a-lot Markets"/>
    <s v="Davolio, Nancy"/>
    <d v="1998-02-18T00:00:00"/>
    <d v="1998-02-20T00:00:00"/>
    <x v="1"/>
    <n v="127.74299999999999"/>
    <s v="USA"/>
  </r>
  <r>
    <n v="10895"/>
    <s v="Ernst Handel"/>
    <s v="Leverling, Janet"/>
    <d v="1998-02-18T00:00:00"/>
    <d v="1998-02-23T00:00:00"/>
    <x v="1"/>
    <n v="179.02500000000001"/>
    <s v="Austria"/>
  </r>
  <r>
    <n v="10896"/>
    <s v="Maison Dewey"/>
    <s v="King, Robert"/>
    <d v="1998-02-19T00:00:00"/>
    <d v="1998-02-27T00:00:00"/>
    <x v="0"/>
    <n v="35.695"/>
    <s v="Belgium"/>
  </r>
  <r>
    <n v="10897"/>
    <s v="Hungry Owl All-Night Grocers"/>
    <s v="Leverling, Janet"/>
    <d v="1998-02-19T00:00:00"/>
    <d v="1998-02-25T00:00:00"/>
    <x v="2"/>
    <n v="663.89400000000001"/>
    <s v="Ireland"/>
  </r>
  <r>
    <n v="10898"/>
    <s v="Océano Atlántico Ltda."/>
    <s v="Peacock, Margaret"/>
    <d v="1998-02-20T00:00:00"/>
    <d v="1998-03-06T00:00:00"/>
    <x v="2"/>
    <n v="1.397"/>
    <s v="Argentina"/>
  </r>
  <r>
    <n v="10899"/>
    <s v="LILA-Supermercado"/>
    <s v="Buchanan, Steven"/>
    <d v="1998-02-20T00:00:00"/>
    <d v="1998-02-26T00:00:00"/>
    <x v="0"/>
    <n v="1.331"/>
    <s v="Venezuela"/>
  </r>
  <r>
    <n v="10900"/>
    <s v="Wellington Importadora"/>
    <s v="Davolio, Nancy"/>
    <d v="1998-02-20T00:00:00"/>
    <d v="1998-03-04T00:00:00"/>
    <x v="2"/>
    <n v="1.8260000000000001"/>
    <s v="Brazil"/>
  </r>
  <r>
    <n v="10901"/>
    <s v="HILARIÓN-Abastos"/>
    <s v="Peacock, Margaret"/>
    <d v="1998-02-23T00:00:00"/>
    <d v="1998-02-26T00:00:00"/>
    <x v="1"/>
    <n v="68.299000000000007"/>
    <s v="Venezuela"/>
  </r>
  <r>
    <n v="10902"/>
    <s v="Folk och fä HB"/>
    <s v="Davolio, Nancy"/>
    <d v="1998-02-23T00:00:00"/>
    <d v="1998-03-03T00:00:00"/>
    <x v="1"/>
    <n v="48.564999999999998"/>
    <s v="Sweden"/>
  </r>
  <r>
    <n v="10903"/>
    <s v="Hanari Carnes"/>
    <s v="Leverling, Janet"/>
    <d v="1998-02-24T00:00:00"/>
    <d v="1998-03-04T00:00:00"/>
    <x v="0"/>
    <n v="40.381"/>
    <s v="Brazil"/>
  </r>
  <r>
    <n v="10904"/>
    <s v="White Clover Markets"/>
    <s v="Leverling, Janet"/>
    <d v="1998-02-24T00:00:00"/>
    <d v="1998-02-27T00:00:00"/>
    <x v="0"/>
    <n v="179.245"/>
    <s v="USA"/>
  </r>
  <r>
    <n v="10905"/>
    <s v="Wellington Importadora"/>
    <s v="Dodsworth, Anne"/>
    <d v="1998-02-24T00:00:00"/>
    <d v="1998-03-06T00:00:00"/>
    <x v="2"/>
    <n v="15.092000000000001"/>
    <s v="Brazil"/>
  </r>
  <r>
    <n v="10906"/>
    <s v="Wolski  Zajazd"/>
    <s v="Peacock, Margaret"/>
    <d v="1998-02-25T00:00:00"/>
    <d v="1998-03-03T00:00:00"/>
    <x v="0"/>
    <n v="28.919"/>
    <s v="Poland"/>
  </r>
  <r>
    <n v="10907"/>
    <s v="Spécialités du monde"/>
    <s v="Suyama, Michael"/>
    <d v="1998-02-25T00:00:00"/>
    <d v="1998-02-27T00:00:00"/>
    <x v="0"/>
    <n v="10.109"/>
    <s v="France"/>
  </r>
  <r>
    <n v="10908"/>
    <s v="Reggiani Caseifici"/>
    <s v="Peacock, Margaret"/>
    <d v="1998-02-26T00:00:00"/>
    <d v="1998-03-06T00:00:00"/>
    <x v="2"/>
    <n v="36.256"/>
    <s v="Italy"/>
  </r>
  <r>
    <n v="10909"/>
    <s v="Santé Gourmet"/>
    <s v="Davolio, Nancy"/>
    <d v="1998-02-26T00:00:00"/>
    <d v="1998-03-10T00:00:00"/>
    <x v="2"/>
    <n v="58.354999999999997"/>
    <s v="Norway"/>
  </r>
  <r>
    <n v="10910"/>
    <s v="Wilman Kala"/>
    <s v="Davolio, Nancy"/>
    <d v="1998-02-26T00:00:00"/>
    <d v="1998-03-04T00:00:00"/>
    <x v="0"/>
    <n v="41.920999999999999"/>
    <s v="Finland"/>
  </r>
  <r>
    <n v="10911"/>
    <s v="Godos Cocina Típica"/>
    <s v="Leverling, Janet"/>
    <d v="1998-02-26T00:00:00"/>
    <d v="1998-03-05T00:00:00"/>
    <x v="1"/>
    <n v="42.009"/>
    <s v="Spain"/>
  </r>
  <r>
    <n v="10912"/>
    <s v="Hungry Owl All-Night Grocers"/>
    <s v="Fuller, Andrew"/>
    <d v="1998-02-26T00:00:00"/>
    <d v="1998-03-18T00:00:00"/>
    <x v="2"/>
    <n v="639.00099999999998"/>
    <s v="Ireland"/>
  </r>
  <r>
    <n v="10913"/>
    <s v="Queen Cozinha"/>
    <s v="Peacock, Margaret"/>
    <d v="1998-02-26T00:00:00"/>
    <d v="1998-03-04T00:00:00"/>
    <x v="1"/>
    <n v="36.354999999999997"/>
    <s v="Brazil"/>
  </r>
  <r>
    <n v="10914"/>
    <s v="Queen Cozinha"/>
    <s v="Suyama, Michael"/>
    <d v="1998-02-27T00:00:00"/>
    <d v="1998-03-02T00:00:00"/>
    <x v="1"/>
    <n v="23.309000000000001"/>
    <s v="Brazil"/>
  </r>
  <r>
    <n v="10915"/>
    <s v="Tortuga Restaurante"/>
    <s v="Fuller, Andrew"/>
    <d v="1998-02-27T00:00:00"/>
    <d v="1998-03-02T00:00:00"/>
    <x v="2"/>
    <n v="3.8610000000000002"/>
    <s v="Mexico"/>
  </r>
  <r>
    <n v="10916"/>
    <s v="Rancho grande"/>
    <s v="Davolio, Nancy"/>
    <d v="1998-02-27T00:00:00"/>
    <d v="1998-03-09T00:00:00"/>
    <x v="2"/>
    <n v="70.147000000000006"/>
    <s v="Argentina"/>
  </r>
  <r>
    <n v="10917"/>
    <s v="Romero y tomillo"/>
    <s v="Peacock, Margaret"/>
    <d v="1998-03-02T00:00:00"/>
    <d v="1998-03-11T00:00:00"/>
    <x v="2"/>
    <n v="9.1189999999999998"/>
    <s v="Spain"/>
  </r>
  <r>
    <n v="10918"/>
    <s v="Bottom-Dollar Markets"/>
    <s v="Leverling, Janet"/>
    <d v="1998-03-02T00:00:00"/>
    <d v="1998-03-11T00:00:00"/>
    <x v="0"/>
    <n v="53.713000000000001"/>
    <s v="Canada"/>
  </r>
  <r>
    <n v="10919"/>
    <s v="LINO-Delicateses"/>
    <s v="Fuller, Andrew"/>
    <d v="1998-03-02T00:00:00"/>
    <d v="1998-03-04T00:00:00"/>
    <x v="2"/>
    <n v="21.78"/>
    <s v="Venezuela"/>
  </r>
  <r>
    <n v="10920"/>
    <s v="Around the Horn"/>
    <s v="Peacock, Margaret"/>
    <d v="1998-03-03T00:00:00"/>
    <d v="1998-03-09T00:00:00"/>
    <x v="2"/>
    <n v="32.570999999999998"/>
    <s v="UK"/>
  </r>
  <r>
    <n v="10921"/>
    <s v="Vaffeljernet"/>
    <s v="Davolio, Nancy"/>
    <d v="1998-03-03T00:00:00"/>
    <d v="1998-03-09T00:00:00"/>
    <x v="1"/>
    <n v="194.12799999999999"/>
    <s v="Denmark"/>
  </r>
  <r>
    <n v="10922"/>
    <s v="Hanari Carnes"/>
    <s v="Buchanan, Steven"/>
    <d v="1998-03-03T00:00:00"/>
    <d v="1998-03-05T00:00:00"/>
    <x v="0"/>
    <n v="69.013999999999996"/>
    <s v="Brazil"/>
  </r>
  <r>
    <n v="10923"/>
    <s v="La maison d'Asie"/>
    <s v="King, Robert"/>
    <d v="1998-03-03T00:00:00"/>
    <d v="1998-03-13T00:00:00"/>
    <x v="0"/>
    <n v="75.085999999999999"/>
    <s v="France"/>
  </r>
  <r>
    <n v="10924"/>
    <s v="Berglunds snabbköp"/>
    <s v="Leverling, Janet"/>
    <d v="1998-03-04T00:00:00"/>
    <d v="1998-04-08T00:00:00"/>
    <x v="2"/>
    <n v="166.672"/>
    <s v="Sweden"/>
  </r>
  <r>
    <n v="10925"/>
    <s v="Hanari Carnes"/>
    <s v="Leverling, Janet"/>
    <d v="1998-03-04T00:00:00"/>
    <d v="1998-03-13T00:00:00"/>
    <x v="1"/>
    <n v="2.4969999999999999"/>
    <s v="Brazil"/>
  </r>
  <r>
    <n v="10926"/>
    <s v="Ana Trujillo Emparedados y helados"/>
    <s v="Peacock, Margaret"/>
    <d v="1998-03-04T00:00:00"/>
    <d v="1998-03-11T00:00:00"/>
    <x v="0"/>
    <n v="43.911999999999999"/>
    <s v="Mexico"/>
  </r>
  <r>
    <n v="10927"/>
    <s v="La corne d'abondance"/>
    <s v="Peacock, Margaret"/>
    <d v="1998-03-05T00:00:00"/>
    <d v="1998-04-08T00:00:00"/>
    <x v="1"/>
    <n v="21.768999999999998"/>
    <s v="France"/>
  </r>
  <r>
    <n v="10928"/>
    <s v="Galería del gastrónomo"/>
    <s v="Davolio, Nancy"/>
    <d v="1998-03-05T00:00:00"/>
    <d v="1998-03-18T00:00:00"/>
    <x v="1"/>
    <n v="1.496"/>
    <s v="Spain"/>
  </r>
  <r>
    <n v="10929"/>
    <s v="Frankenversand"/>
    <s v="Suyama, Michael"/>
    <d v="1998-03-05T00:00:00"/>
    <d v="1998-03-12T00:00:00"/>
    <x v="1"/>
    <n v="37.323"/>
    <s v="Germany"/>
  </r>
  <r>
    <n v="10930"/>
    <s v="Suprêmes délices"/>
    <s v="Peacock, Margaret"/>
    <d v="1998-03-06T00:00:00"/>
    <d v="1998-03-18T00:00:00"/>
    <x v="0"/>
    <n v="17.105"/>
    <s v="Belgium"/>
  </r>
  <r>
    <n v="10931"/>
    <s v="Richter Supermarkt"/>
    <s v="Peacock, Margaret"/>
    <d v="1998-03-06T00:00:00"/>
    <d v="1998-03-19T00:00:00"/>
    <x v="2"/>
    <n v="14.96"/>
    <s v="Switzerland"/>
  </r>
  <r>
    <n v="10932"/>
    <s v="Bon app'"/>
    <s v="Callahan, Laura"/>
    <d v="1998-03-06T00:00:00"/>
    <d v="1998-03-24T00:00:00"/>
    <x v="1"/>
    <n v="148.10400000000001"/>
    <s v="France"/>
  </r>
  <r>
    <n v="10933"/>
    <s v="Island Trading"/>
    <s v="Suyama, Michael"/>
    <d v="1998-03-06T00:00:00"/>
    <d v="1998-03-16T00:00:00"/>
    <x v="0"/>
    <n v="59.564999999999998"/>
    <s v="UK"/>
  </r>
  <r>
    <n v="10934"/>
    <s v="Lehmanns Marktstand"/>
    <s v="Leverling, Janet"/>
    <d v="1998-03-09T00:00:00"/>
    <d v="1998-03-12T00:00:00"/>
    <x v="0"/>
    <n v="35.210999999999999"/>
    <s v="Germany"/>
  </r>
  <r>
    <n v="10935"/>
    <s v="Wellington Importadora"/>
    <s v="Peacock, Margaret"/>
    <d v="1998-03-09T00:00:00"/>
    <d v="1998-03-18T00:00:00"/>
    <x v="0"/>
    <n v="52.348999999999997"/>
    <s v="Brazil"/>
  </r>
  <r>
    <n v="10936"/>
    <s v="Great Lakes Food Market"/>
    <s v="Leverling, Janet"/>
    <d v="1998-03-09T00:00:00"/>
    <d v="1998-03-18T00:00:00"/>
    <x v="2"/>
    <n v="37.048000000000002"/>
    <s v="USA"/>
  </r>
  <r>
    <n v="10937"/>
    <s v="Cactus Comidas para llevar"/>
    <s v="King, Robert"/>
    <d v="1998-03-10T00:00:00"/>
    <d v="1998-03-13T00:00:00"/>
    <x v="0"/>
    <n v="34.661000000000001"/>
    <s v="Argentina"/>
  </r>
  <r>
    <n v="10938"/>
    <s v="QUICK-Stop"/>
    <s v="Leverling, Janet"/>
    <d v="1998-03-10T00:00:00"/>
    <d v="1998-03-16T00:00:00"/>
    <x v="2"/>
    <n v="35.079000000000001"/>
    <s v="Germany"/>
  </r>
  <r>
    <n v="10939"/>
    <s v="Magazzini Alimentari Riuniti"/>
    <s v="Fuller, Andrew"/>
    <d v="1998-03-10T00:00:00"/>
    <d v="1998-03-13T00:00:00"/>
    <x v="2"/>
    <n v="83.962999999999994"/>
    <s v="Italy"/>
  </r>
  <r>
    <n v="10940"/>
    <s v="Bon app'"/>
    <s v="Callahan, Laura"/>
    <d v="1998-03-11T00:00:00"/>
    <d v="1998-03-23T00:00:00"/>
    <x v="0"/>
    <n v="21.747"/>
    <s v="France"/>
  </r>
  <r>
    <n v="10941"/>
    <s v="Save-a-lot Markets"/>
    <s v="King, Robert"/>
    <d v="1998-03-11T00:00:00"/>
    <d v="1998-03-20T00:00:00"/>
    <x v="2"/>
    <n v="440.89100000000002"/>
    <s v="USA"/>
  </r>
  <r>
    <n v="10942"/>
    <s v="Reggiani Caseifici"/>
    <s v="Dodsworth, Anne"/>
    <d v="1998-03-11T00:00:00"/>
    <d v="1998-03-18T00:00:00"/>
    <x v="0"/>
    <n v="19.745000000000001"/>
    <s v="Italy"/>
  </r>
  <r>
    <n v="10943"/>
    <s v="B's Beverages"/>
    <s v="Peacock, Margaret"/>
    <d v="1998-03-11T00:00:00"/>
    <d v="1998-03-19T00:00:00"/>
    <x v="2"/>
    <n v="2.387"/>
    <s v="UK"/>
  </r>
  <r>
    <n v="10944"/>
    <s v="Bottom-Dollar Markets"/>
    <s v="Suyama, Michael"/>
    <d v="1998-03-12T00:00:00"/>
    <d v="1998-03-13T00:00:00"/>
    <x v="0"/>
    <n v="58.212000000000003"/>
    <s v="Canada"/>
  </r>
  <r>
    <n v="10945"/>
    <s v="Morgenstern Gesundkost"/>
    <s v="Peacock, Margaret"/>
    <d v="1998-03-12T00:00:00"/>
    <d v="1998-03-18T00:00:00"/>
    <x v="1"/>
    <n v="11.242000000000001"/>
    <s v="Germany"/>
  </r>
  <r>
    <n v="10946"/>
    <s v="Vaffeljernet"/>
    <s v="Davolio, Nancy"/>
    <d v="1998-03-12T00:00:00"/>
    <d v="1998-03-19T00:00:00"/>
    <x v="2"/>
    <n v="29.92"/>
    <s v="Denmark"/>
  </r>
  <r>
    <n v="10947"/>
    <s v="B's Beverages"/>
    <s v="Leverling, Janet"/>
    <d v="1998-03-13T00:00:00"/>
    <d v="1998-03-16T00:00:00"/>
    <x v="2"/>
    <n v="3.5859999999999999"/>
    <s v="UK"/>
  </r>
  <r>
    <n v="10948"/>
    <s v="Godos Cocina Típica"/>
    <s v="Leverling, Janet"/>
    <d v="1998-03-13T00:00:00"/>
    <d v="1998-03-19T00:00:00"/>
    <x v="0"/>
    <n v="25.728999999999999"/>
    <s v="Spain"/>
  </r>
  <r>
    <n v="10949"/>
    <s v="Bottom-Dollar Markets"/>
    <s v="Fuller, Andrew"/>
    <d v="1998-03-13T00:00:00"/>
    <d v="1998-03-17T00:00:00"/>
    <x v="0"/>
    <n v="81.884"/>
    <s v="Canada"/>
  </r>
  <r>
    <n v="10950"/>
    <s v="Magazzini Alimentari Riuniti"/>
    <s v="Davolio, Nancy"/>
    <d v="1998-03-16T00:00:00"/>
    <d v="1998-03-23T00:00:00"/>
    <x v="2"/>
    <n v="2.75"/>
    <s v="Italy"/>
  </r>
  <r>
    <n v="10951"/>
    <s v="Richter Supermarkt"/>
    <s v="Dodsworth, Anne"/>
    <d v="1998-03-16T00:00:00"/>
    <d v="1998-04-07T00:00:00"/>
    <x v="2"/>
    <n v="33.935000000000002"/>
    <s v="Switzerland"/>
  </r>
  <r>
    <n v="10952"/>
    <s v="Alfreds Futterkiste"/>
    <s v="Davolio, Nancy"/>
    <d v="1998-03-16T00:00:00"/>
    <d v="1998-03-24T00:00:00"/>
    <x v="1"/>
    <n v="44.462000000000003"/>
    <s v="Germany"/>
  </r>
  <r>
    <n v="10953"/>
    <s v="Around the Horn"/>
    <s v="Dodsworth, Anne"/>
    <d v="1998-03-16T00:00:00"/>
    <d v="1998-03-25T00:00:00"/>
    <x v="2"/>
    <n v="26.091999999999999"/>
    <s v="UK"/>
  </r>
  <r>
    <n v="10954"/>
    <s v="LINO-Delicateses"/>
    <s v="Buchanan, Steven"/>
    <d v="1998-03-17T00:00:00"/>
    <d v="1998-03-20T00:00:00"/>
    <x v="1"/>
    <n v="30.701000000000001"/>
    <s v="Venezuela"/>
  </r>
  <r>
    <n v="10955"/>
    <s v="Folk och fä HB"/>
    <s v="Callahan, Laura"/>
    <d v="1998-03-17T00:00:00"/>
    <d v="1998-03-20T00:00:00"/>
    <x v="2"/>
    <n v="3.5859999999999999"/>
    <s v="Sweden"/>
  </r>
  <r>
    <n v="10956"/>
    <s v="Blauer See Delikatessen"/>
    <s v="Suyama, Michael"/>
    <d v="1998-03-17T00:00:00"/>
    <d v="1998-03-20T00:00:00"/>
    <x v="2"/>
    <n v="49.115000000000002"/>
    <s v="Germany"/>
  </r>
  <r>
    <n v="10957"/>
    <s v="HILARIÓN-Abastos"/>
    <s v="Callahan, Laura"/>
    <d v="1998-03-18T00:00:00"/>
    <d v="1998-03-27T00:00:00"/>
    <x v="0"/>
    <n v="115.896"/>
    <s v="Venezuela"/>
  </r>
  <r>
    <n v="10958"/>
    <s v="Océano Atlántico Ltda."/>
    <s v="King, Robert"/>
    <d v="1998-03-18T00:00:00"/>
    <d v="1998-03-27T00:00:00"/>
    <x v="2"/>
    <n v="54.515999999999998"/>
    <s v="Argentina"/>
  </r>
  <r>
    <n v="10959"/>
    <s v="Gourmet Lanchonetes"/>
    <s v="Suyama, Michael"/>
    <d v="1998-03-18T00:00:00"/>
    <d v="1998-03-23T00:00:00"/>
    <x v="2"/>
    <n v="5.4779999999999998"/>
    <s v="Brazil"/>
  </r>
  <r>
    <n v="10960"/>
    <s v="HILARIÓN-Abastos"/>
    <s v="Leverling, Janet"/>
    <d v="1998-03-19T00:00:00"/>
    <d v="1998-04-08T00:00:00"/>
    <x v="1"/>
    <n v="2.2879999999999998"/>
    <s v="Venezuela"/>
  </r>
  <r>
    <n v="10961"/>
    <s v="Queen Cozinha"/>
    <s v="Callahan, Laura"/>
    <d v="1998-03-19T00:00:00"/>
    <d v="1998-03-30T00:00:00"/>
    <x v="1"/>
    <n v="114.917"/>
    <s v="Brazil"/>
  </r>
  <r>
    <n v="10962"/>
    <s v="QUICK-Stop"/>
    <s v="Callahan, Laura"/>
    <d v="1998-03-19T00:00:00"/>
    <d v="1998-03-23T00:00:00"/>
    <x v="2"/>
    <n v="303.36900000000003"/>
    <s v="Germany"/>
  </r>
  <r>
    <n v="10963"/>
    <s v="Furia Bacalhau e Frutos do Mar"/>
    <s v="Dodsworth, Anne"/>
    <d v="1998-03-19T00:00:00"/>
    <d v="1998-03-26T00:00:00"/>
    <x v="0"/>
    <n v="2.97"/>
    <s v="Portugal"/>
  </r>
  <r>
    <n v="10964"/>
    <s v="Spécialités du monde"/>
    <s v="Leverling, Janet"/>
    <d v="1998-03-20T00:00:00"/>
    <d v="1998-03-24T00:00:00"/>
    <x v="2"/>
    <n v="96.117999999999995"/>
    <s v="France"/>
  </r>
  <r>
    <n v="10965"/>
    <s v="Old World Delicatessen"/>
    <s v="Suyama, Michael"/>
    <d v="1998-03-20T00:00:00"/>
    <d v="1998-03-30T00:00:00"/>
    <x v="0"/>
    <n v="158.81800000000001"/>
    <s v="USA"/>
  </r>
  <r>
    <n v="10966"/>
    <s v="Chop-suey Chinese"/>
    <s v="Peacock, Margaret"/>
    <d v="1998-03-20T00:00:00"/>
    <d v="1998-04-08T00:00:00"/>
    <x v="1"/>
    <n v="29.908999999999999"/>
    <s v="Switzerland"/>
  </r>
  <r>
    <n v="10967"/>
    <s v="Toms Spezialitäten"/>
    <s v="Fuller, Andrew"/>
    <d v="1998-03-23T00:00:00"/>
    <d v="1998-04-02T00:00:00"/>
    <x v="2"/>
    <n v="68.441999999999993"/>
    <s v="Germany"/>
  </r>
  <r>
    <n v="10968"/>
    <s v="Ernst Handel"/>
    <s v="Davolio, Nancy"/>
    <d v="1998-03-23T00:00:00"/>
    <d v="1998-04-01T00:00:00"/>
    <x v="0"/>
    <n v="82.06"/>
    <s v="Austria"/>
  </r>
  <r>
    <n v="10969"/>
    <s v="Comércio Mineiro"/>
    <s v="Davolio, Nancy"/>
    <d v="1998-03-23T00:00:00"/>
    <d v="1998-03-30T00:00:00"/>
    <x v="2"/>
    <n v="0.23100000000000001"/>
    <s v="Brazil"/>
  </r>
  <r>
    <n v="10970"/>
    <s v="Bólido Comidas preparadas"/>
    <s v="Dodsworth, Anne"/>
    <d v="1998-03-24T00:00:00"/>
    <d v="1998-04-24T00:00:00"/>
    <x v="1"/>
    <n v="17.776"/>
    <s v="Spain"/>
  </r>
  <r>
    <n v="10971"/>
    <s v="France restauration"/>
    <s v="Fuller, Andrew"/>
    <d v="1998-03-24T00:00:00"/>
    <d v="1998-04-02T00:00:00"/>
    <x v="2"/>
    <n v="134.00200000000001"/>
    <s v="France"/>
  </r>
  <r>
    <n v="10972"/>
    <s v="La corne d'abondance"/>
    <s v="Peacock, Margaret"/>
    <d v="1998-03-24T00:00:00"/>
    <d v="1998-03-26T00:00:00"/>
    <x v="2"/>
    <n v="2.1999999999999999E-2"/>
    <s v="France"/>
  </r>
  <r>
    <n v="10973"/>
    <s v="La corne d'abondance"/>
    <s v="Suyama, Michael"/>
    <d v="1998-03-24T00:00:00"/>
    <d v="1998-03-27T00:00:00"/>
    <x v="2"/>
    <n v="16.687000000000001"/>
    <s v="France"/>
  </r>
  <r>
    <n v="10974"/>
    <s v="Split Rail Beer &amp; Ale"/>
    <s v="Leverling, Janet"/>
    <d v="1998-03-25T00:00:00"/>
    <d v="1998-04-03T00:00:00"/>
    <x v="0"/>
    <n v="14.256"/>
    <s v="USA"/>
  </r>
  <r>
    <n v="10975"/>
    <s v="Bottom-Dollar Markets"/>
    <s v="Davolio, Nancy"/>
    <d v="1998-03-25T00:00:00"/>
    <d v="1998-03-27T00:00:00"/>
    <x v="0"/>
    <n v="35.497"/>
    <s v="Canada"/>
  </r>
  <r>
    <n v="10976"/>
    <s v="HILARIÓN-Abastos"/>
    <s v="Davolio, Nancy"/>
    <d v="1998-03-25T00:00:00"/>
    <d v="1998-04-03T00:00:00"/>
    <x v="1"/>
    <n v="41.767000000000003"/>
    <s v="Venezuela"/>
  </r>
  <r>
    <n v="10977"/>
    <s v="Folk och fä HB"/>
    <s v="Callahan, Laura"/>
    <d v="1998-03-26T00:00:00"/>
    <d v="1998-04-10T00:00:00"/>
    <x v="0"/>
    <n v="229.35"/>
    <s v="Sweden"/>
  </r>
  <r>
    <n v="10978"/>
    <s v="Maison Dewey"/>
    <s v="Dodsworth, Anne"/>
    <d v="1998-03-26T00:00:00"/>
    <d v="1998-04-23T00:00:00"/>
    <x v="2"/>
    <n v="36.101999999999997"/>
    <s v="Belgium"/>
  </r>
  <r>
    <n v="10979"/>
    <s v="Ernst Handel"/>
    <s v="Callahan, Laura"/>
    <d v="1998-03-26T00:00:00"/>
    <d v="1998-03-31T00:00:00"/>
    <x v="2"/>
    <n v="388.37700000000001"/>
    <s v="Austria"/>
  </r>
  <r>
    <n v="10980"/>
    <s v="Folk och fä HB"/>
    <s v="Peacock, Margaret"/>
    <d v="1998-03-27T00:00:00"/>
    <d v="1998-04-17T00:00:00"/>
    <x v="1"/>
    <n v="1.3859999999999999"/>
    <s v="Sweden"/>
  </r>
  <r>
    <n v="10981"/>
    <s v="Hanari Carnes"/>
    <s v="Davolio, Nancy"/>
    <d v="1998-03-27T00:00:00"/>
    <d v="1998-04-02T00:00:00"/>
    <x v="2"/>
    <n v="212.70699999999999"/>
    <s v="Brazil"/>
  </r>
  <r>
    <n v="10982"/>
    <s v="Bottom-Dollar Markets"/>
    <s v="Fuller, Andrew"/>
    <d v="1998-03-27T00:00:00"/>
    <d v="1998-04-08T00:00:00"/>
    <x v="1"/>
    <n v="15.411"/>
    <s v="Canada"/>
  </r>
  <r>
    <n v="10983"/>
    <s v="Save-a-lot Markets"/>
    <s v="Fuller, Andrew"/>
    <d v="1998-03-27T00:00:00"/>
    <d v="1998-04-06T00:00:00"/>
    <x v="2"/>
    <n v="723.29399999999998"/>
    <s v="USA"/>
  </r>
  <r>
    <n v="10984"/>
    <s v="Save-a-lot Markets"/>
    <s v="Davolio, Nancy"/>
    <d v="1998-03-30T00:00:00"/>
    <d v="1998-04-03T00:00:00"/>
    <x v="0"/>
    <n v="232.34200000000001"/>
    <s v="USA"/>
  </r>
  <r>
    <n v="10985"/>
    <s v="Hungry Owl All-Night Grocers"/>
    <s v="Fuller, Andrew"/>
    <d v="1998-03-30T00:00:00"/>
    <d v="1998-04-02T00:00:00"/>
    <x v="1"/>
    <n v="100.661"/>
    <s v="Ireland"/>
  </r>
  <r>
    <n v="10986"/>
    <s v="Océano Atlántico Ltda."/>
    <s v="Callahan, Laura"/>
    <d v="1998-03-30T00:00:00"/>
    <d v="1998-04-21T00:00:00"/>
    <x v="2"/>
    <n v="239.64599999999999"/>
    <s v="Argentina"/>
  </r>
  <r>
    <n v="10987"/>
    <s v="Eastern Connection"/>
    <s v="Callahan, Laura"/>
    <d v="1998-03-31T00:00:00"/>
    <d v="1998-04-06T00:00:00"/>
    <x v="1"/>
    <n v="204.02799999999999"/>
    <s v="UK"/>
  </r>
  <r>
    <n v="10988"/>
    <s v="Rattlesnake Canyon Grocery"/>
    <s v="Leverling, Janet"/>
    <d v="1998-03-31T00:00:00"/>
    <d v="1998-04-10T00:00:00"/>
    <x v="2"/>
    <n v="67.254000000000005"/>
    <s v="USA"/>
  </r>
  <r>
    <n v="10989"/>
    <s v="Que Delícia"/>
    <s v="Fuller, Andrew"/>
    <d v="1998-03-31T00:00:00"/>
    <d v="1998-04-02T00:00:00"/>
    <x v="1"/>
    <n v="38.235999999999997"/>
    <s v="Brazil"/>
  </r>
  <r>
    <n v="10990"/>
    <s v="Ernst Handel"/>
    <s v="Fuller, Andrew"/>
    <d v="1998-04-01T00:00:00"/>
    <d v="1998-04-07T00:00:00"/>
    <x v="0"/>
    <n v="129.37100000000001"/>
    <s v="Austria"/>
  </r>
  <r>
    <n v="10991"/>
    <s v="QUICK-Stop"/>
    <s v="Davolio, Nancy"/>
    <d v="1998-04-01T00:00:00"/>
    <d v="1998-04-07T00:00:00"/>
    <x v="1"/>
    <n v="42.360999999999997"/>
    <s v="Germany"/>
  </r>
  <r>
    <n v="10992"/>
    <s v="The Big Cheese"/>
    <s v="Davolio, Nancy"/>
    <d v="1998-04-01T00:00:00"/>
    <d v="1998-04-03T00:00:00"/>
    <x v="0"/>
    <n v="4.6970000000000001"/>
    <s v="USA"/>
  </r>
  <r>
    <n v="10993"/>
    <s v="Folk och fä HB"/>
    <s v="King, Robert"/>
    <d v="1998-04-01T00:00:00"/>
    <d v="1998-04-10T00:00:00"/>
    <x v="0"/>
    <n v="9.6910000000000007"/>
    <s v="Sweden"/>
  </r>
  <r>
    <n v="10994"/>
    <s v="Vaffeljernet"/>
    <s v="Fuller, Andrew"/>
    <d v="1998-04-02T00:00:00"/>
    <d v="1998-04-09T00:00:00"/>
    <x v="0"/>
    <n v="72.082999999999998"/>
    <s v="Denmark"/>
  </r>
  <r>
    <n v="10995"/>
    <s v="Pericles Comidas clásicas"/>
    <s v="Davolio, Nancy"/>
    <d v="1998-04-02T00:00:00"/>
    <d v="1998-04-06T00:00:00"/>
    <x v="0"/>
    <n v="50.6"/>
    <s v="Mexico"/>
  </r>
  <r>
    <n v="10996"/>
    <s v="QUICK-Stop"/>
    <s v="Peacock, Margaret"/>
    <d v="1998-04-02T00:00:00"/>
    <d v="1998-04-10T00:00:00"/>
    <x v="2"/>
    <n v="1.232"/>
    <s v="Germany"/>
  </r>
  <r>
    <n v="10997"/>
    <s v="LILA-Supermercado"/>
    <s v="Callahan, Laura"/>
    <d v="1998-04-03T00:00:00"/>
    <d v="1998-04-13T00:00:00"/>
    <x v="2"/>
    <n v="81.301000000000002"/>
    <s v="Venezuela"/>
  </r>
  <r>
    <n v="10998"/>
    <s v="Wolski  Zajazd"/>
    <s v="Callahan, Laura"/>
    <d v="1998-04-03T00:00:00"/>
    <d v="1998-04-17T00:00:00"/>
    <x v="2"/>
    <n v="22.341000000000001"/>
    <s v="Poland"/>
  </r>
  <r>
    <n v="10999"/>
    <s v="Ottilies Käseladen"/>
    <s v="Suyama, Michael"/>
    <d v="1998-04-03T00:00:00"/>
    <d v="1998-04-10T00:00:00"/>
    <x v="2"/>
    <n v="105.985"/>
    <s v="Germany"/>
  </r>
  <r>
    <n v="11000"/>
    <s v="Rattlesnake Canyon Grocery"/>
    <s v="Fuller, Andrew"/>
    <d v="1998-04-06T00:00:00"/>
    <d v="1998-04-14T00:00:00"/>
    <x v="0"/>
    <n v="60.631999999999998"/>
    <s v="USA"/>
  </r>
  <r>
    <n v="11001"/>
    <s v="Folk och fä HB"/>
    <s v="Fuller, Andrew"/>
    <d v="1998-04-06T00:00:00"/>
    <d v="1998-04-14T00:00:00"/>
    <x v="2"/>
    <n v="217.03"/>
    <s v="Sweden"/>
  </r>
  <r>
    <n v="11002"/>
    <s v="Save-a-lot Markets"/>
    <s v="Peacock, Margaret"/>
    <d v="1998-04-06T00:00:00"/>
    <d v="1998-04-16T00:00:00"/>
    <x v="1"/>
    <n v="155.27600000000001"/>
    <s v="USA"/>
  </r>
  <r>
    <n v="11003"/>
    <s v="The Cracker Box"/>
    <s v="Leverling, Janet"/>
    <d v="1998-04-06T00:00:00"/>
    <d v="1998-04-08T00:00:00"/>
    <x v="0"/>
    <n v="16.401"/>
    <s v="USA"/>
  </r>
  <r>
    <n v="11004"/>
    <s v="Maison Dewey"/>
    <s v="Leverling, Janet"/>
    <d v="1998-04-07T00:00:00"/>
    <d v="1998-04-20T00:00:00"/>
    <x v="1"/>
    <n v="49.323999999999998"/>
    <s v="Belgium"/>
  </r>
  <r>
    <n v="11005"/>
    <s v="Wilman Kala"/>
    <s v="Fuller, Andrew"/>
    <d v="1998-04-07T00:00:00"/>
    <d v="1998-04-10T00:00:00"/>
    <x v="1"/>
    <n v="0.82499999999999996"/>
    <s v="Finland"/>
  </r>
  <r>
    <n v="11006"/>
    <s v="Great Lakes Food Market"/>
    <s v="Leverling, Janet"/>
    <d v="1998-04-07T00:00:00"/>
    <d v="1998-04-15T00:00:00"/>
    <x v="2"/>
    <n v="27.709"/>
    <s v="USA"/>
  </r>
  <r>
    <n v="11007"/>
    <s v="Princesa Isabel Vinhos"/>
    <s v="Callahan, Laura"/>
    <d v="1998-04-08T00:00:00"/>
    <d v="1998-04-13T00:00:00"/>
    <x v="2"/>
    <n v="222.464"/>
    <s v="Portugal"/>
  </r>
  <r>
    <n v="11008"/>
    <s v="Ernst Handel"/>
    <s v="King, Robert"/>
    <d v="1998-04-08T00:00:00"/>
    <m/>
    <x v="0"/>
    <n v="87.406000000000006"/>
    <s v="Austria"/>
  </r>
  <r>
    <n v="11009"/>
    <s v="Godos Cocina Típica"/>
    <s v="Fuller, Andrew"/>
    <d v="1998-04-08T00:00:00"/>
    <d v="1998-04-10T00:00:00"/>
    <x v="1"/>
    <n v="65.021000000000001"/>
    <s v="Spain"/>
  </r>
  <r>
    <n v="11010"/>
    <s v="Reggiani Caseifici"/>
    <s v="Fuller, Andrew"/>
    <d v="1998-04-09T00:00:00"/>
    <d v="1998-04-21T00:00:00"/>
    <x v="2"/>
    <n v="31.581"/>
    <s v="Italy"/>
  </r>
  <r>
    <n v="11011"/>
    <s v="Alfreds Futterkiste"/>
    <s v="Leverling, Janet"/>
    <d v="1998-04-09T00:00:00"/>
    <d v="1998-04-13T00:00:00"/>
    <x v="1"/>
    <n v="1.331"/>
    <s v="Germany"/>
  </r>
  <r>
    <n v="11012"/>
    <s v="Frankenversand"/>
    <s v="Davolio, Nancy"/>
    <d v="1998-04-09T00:00:00"/>
    <d v="1998-04-17T00:00:00"/>
    <x v="0"/>
    <n v="267.245"/>
    <s v="Germany"/>
  </r>
  <r>
    <n v="11013"/>
    <s v="Romero y tomillo"/>
    <s v="Fuller, Andrew"/>
    <d v="1998-04-09T00:00:00"/>
    <d v="1998-04-10T00:00:00"/>
    <x v="1"/>
    <n v="36.289000000000001"/>
    <s v="Spain"/>
  </r>
  <r>
    <n v="11014"/>
    <s v="LINO-Delicateses"/>
    <s v="Fuller, Andrew"/>
    <d v="1998-04-10T00:00:00"/>
    <d v="1998-04-15T00:00:00"/>
    <x v="0"/>
    <n v="25.96"/>
    <s v="Venezuela"/>
  </r>
  <r>
    <n v="11015"/>
    <s v="Santé Gourmet"/>
    <s v="Fuller, Andrew"/>
    <d v="1998-04-10T00:00:00"/>
    <d v="1998-04-20T00:00:00"/>
    <x v="2"/>
    <n v="5.0819999999999999"/>
    <s v="Norway"/>
  </r>
  <r>
    <n v="11016"/>
    <s v="Around the Horn"/>
    <s v="Dodsworth, Anne"/>
    <d v="1998-04-10T00:00:00"/>
    <d v="1998-04-13T00:00:00"/>
    <x v="2"/>
    <n v="37.18"/>
    <s v="UK"/>
  </r>
  <r>
    <n v="11017"/>
    <s v="Ernst Handel"/>
    <s v="Dodsworth, Anne"/>
    <d v="1998-04-13T00:00:00"/>
    <d v="1998-04-20T00:00:00"/>
    <x v="2"/>
    <n v="829.68600000000004"/>
    <s v="Austria"/>
  </r>
  <r>
    <n v="11018"/>
    <s v="Lonesome Pine Restaurant"/>
    <s v="Peacock, Margaret"/>
    <d v="1998-04-13T00:00:00"/>
    <d v="1998-04-16T00:00:00"/>
    <x v="2"/>
    <n v="12.815"/>
    <s v="USA"/>
  </r>
  <r>
    <n v="11019"/>
    <s v="Rancho grande"/>
    <s v="Suyama, Michael"/>
    <d v="1998-04-13T00:00:00"/>
    <m/>
    <x v="0"/>
    <n v="3.4870000000000001"/>
    <s v="Argentina"/>
  </r>
  <r>
    <n v="11020"/>
    <s v="Ottilies Käseladen"/>
    <s v="Fuller, Andrew"/>
    <d v="1998-04-14T00:00:00"/>
    <d v="1998-04-16T00:00:00"/>
    <x v="2"/>
    <n v="47.63"/>
    <s v="Germany"/>
  </r>
  <r>
    <n v="11021"/>
    <s v="QUICK-Stop"/>
    <s v="Leverling, Janet"/>
    <d v="1998-04-14T00:00:00"/>
    <d v="1998-04-21T00:00:00"/>
    <x v="1"/>
    <n v="326.89800000000002"/>
    <s v="Germany"/>
  </r>
  <r>
    <n v="11022"/>
    <s v="Hanari Carnes"/>
    <s v="Dodsworth, Anne"/>
    <d v="1998-04-14T00:00:00"/>
    <d v="1998-05-04T00:00:00"/>
    <x v="2"/>
    <n v="6.8970000000000002"/>
    <s v="Brazil"/>
  </r>
  <r>
    <n v="11023"/>
    <s v="B's Beverages"/>
    <s v="Davolio, Nancy"/>
    <d v="1998-04-14T00:00:00"/>
    <d v="1998-04-24T00:00:00"/>
    <x v="2"/>
    <n v="136.21299999999999"/>
    <s v="UK"/>
  </r>
  <r>
    <n v="11024"/>
    <s v="Eastern Connection"/>
    <s v="Peacock, Margaret"/>
    <d v="1998-04-15T00:00:00"/>
    <d v="1998-04-20T00:00:00"/>
    <x v="1"/>
    <n v="81.796000000000006"/>
    <s v="UK"/>
  </r>
  <r>
    <n v="11025"/>
    <s v="Wartian Herkku"/>
    <s v="Suyama, Michael"/>
    <d v="1998-04-15T00:00:00"/>
    <d v="1998-04-24T00:00:00"/>
    <x v="0"/>
    <n v="32.087000000000003"/>
    <s v="Finland"/>
  </r>
  <r>
    <n v="11026"/>
    <s v="Franchi S.p.A."/>
    <s v="Peacock, Margaret"/>
    <d v="1998-04-15T00:00:00"/>
    <d v="1998-04-28T00:00:00"/>
    <x v="1"/>
    <n v="51.798999999999999"/>
    <s v="Italy"/>
  </r>
  <r>
    <n v="11027"/>
    <s v="Bottom-Dollar Markets"/>
    <s v="Davolio, Nancy"/>
    <d v="1998-04-16T00:00:00"/>
    <d v="1998-04-20T00:00:00"/>
    <x v="1"/>
    <n v="57.771999999999998"/>
    <s v="Canada"/>
  </r>
  <r>
    <n v="11028"/>
    <s v="Königlich Essen"/>
    <s v="Fuller, Andrew"/>
    <d v="1998-04-16T00:00:00"/>
    <d v="1998-04-22T00:00:00"/>
    <x v="1"/>
    <n v="32.548999999999999"/>
    <s v="Germany"/>
  </r>
  <r>
    <n v="11029"/>
    <s v="Chop-suey Chinese"/>
    <s v="Peacock, Margaret"/>
    <d v="1998-04-16T00:00:00"/>
    <d v="1998-04-27T00:00:00"/>
    <x v="1"/>
    <n v="52.624000000000002"/>
    <s v="Switzerland"/>
  </r>
  <r>
    <n v="11030"/>
    <s v="Save-a-lot Markets"/>
    <s v="King, Robert"/>
    <d v="1998-04-17T00:00:00"/>
    <d v="1998-04-27T00:00:00"/>
    <x v="2"/>
    <n v="913.82500000000005"/>
    <s v="USA"/>
  </r>
  <r>
    <n v="11031"/>
    <s v="Save-a-lot Markets"/>
    <s v="Suyama, Michael"/>
    <d v="1998-04-17T00:00:00"/>
    <d v="1998-04-24T00:00:00"/>
    <x v="2"/>
    <n v="249.94200000000001"/>
    <s v="USA"/>
  </r>
  <r>
    <n v="11032"/>
    <s v="White Clover Markets"/>
    <s v="Fuller, Andrew"/>
    <d v="1998-04-17T00:00:00"/>
    <d v="1998-04-23T00:00:00"/>
    <x v="0"/>
    <n v="666.80899999999997"/>
    <s v="USA"/>
  </r>
  <r>
    <n v="11033"/>
    <s v="Richter Supermarkt"/>
    <s v="King, Robert"/>
    <d v="1998-04-17T00:00:00"/>
    <d v="1998-04-23T00:00:00"/>
    <x v="0"/>
    <n v="93.213999999999999"/>
    <s v="Switzerland"/>
  </r>
  <r>
    <n v="11034"/>
    <s v="Old World Delicatessen"/>
    <s v="Callahan, Laura"/>
    <d v="1998-04-20T00:00:00"/>
    <d v="1998-04-27T00:00:00"/>
    <x v="1"/>
    <n v="44.351999999999997"/>
    <s v="USA"/>
  </r>
  <r>
    <n v="11035"/>
    <s v="Suprêmes délices"/>
    <s v="Fuller, Andrew"/>
    <d v="1998-04-20T00:00:00"/>
    <d v="1998-04-24T00:00:00"/>
    <x v="2"/>
    <n v="0.187"/>
    <s v="Belgium"/>
  </r>
  <r>
    <n v="11036"/>
    <s v="Drachenblut Delikatessen"/>
    <s v="Callahan, Laura"/>
    <d v="1998-04-20T00:00:00"/>
    <d v="1998-04-22T00:00:00"/>
    <x v="0"/>
    <n v="164.417"/>
    <s v="Germany"/>
  </r>
  <r>
    <n v="11037"/>
    <s v="Godos Cocina Típica"/>
    <s v="King, Robert"/>
    <d v="1998-04-21T00:00:00"/>
    <d v="1998-04-27T00:00:00"/>
    <x v="1"/>
    <n v="3.52"/>
    <s v="Spain"/>
  </r>
  <r>
    <n v="11038"/>
    <s v="Suprêmes délices"/>
    <s v="Davolio, Nancy"/>
    <d v="1998-04-21T00:00:00"/>
    <d v="1998-04-30T00:00:00"/>
    <x v="2"/>
    <n v="32.548999999999999"/>
    <s v="Belgium"/>
  </r>
  <r>
    <n v="11039"/>
    <s v="LINO-Delicateses"/>
    <s v="Davolio, Nancy"/>
    <d v="1998-04-21T00:00:00"/>
    <m/>
    <x v="2"/>
    <n v="71.5"/>
    <s v="Venezuela"/>
  </r>
  <r>
    <n v="11040"/>
    <s v="Great Lakes Food Market"/>
    <s v="Peacock, Margaret"/>
    <d v="1998-04-22T00:00:00"/>
    <m/>
    <x v="0"/>
    <n v="20.724"/>
    <s v="USA"/>
  </r>
  <r>
    <n v="11041"/>
    <s v="Chop-suey Chinese"/>
    <s v="Leverling, Janet"/>
    <d v="1998-04-22T00:00:00"/>
    <d v="1998-04-28T00:00:00"/>
    <x v="2"/>
    <n v="53.042000000000002"/>
    <s v="Switzerland"/>
  </r>
  <r>
    <n v="11042"/>
    <s v="Comércio Mineiro"/>
    <s v="Fuller, Andrew"/>
    <d v="1998-04-22T00:00:00"/>
    <d v="1998-05-01T00:00:00"/>
    <x v="1"/>
    <n v="32.988999999999997"/>
    <s v="Brazil"/>
  </r>
  <r>
    <n v="11043"/>
    <s v="Spécialités du monde"/>
    <s v="Buchanan, Steven"/>
    <d v="1998-04-22T00:00:00"/>
    <d v="1998-04-29T00:00:00"/>
    <x v="2"/>
    <n v="9.68"/>
    <s v="France"/>
  </r>
  <r>
    <n v="11044"/>
    <s v="Wolski  Zajazd"/>
    <s v="Peacock, Margaret"/>
    <d v="1998-04-23T00:00:00"/>
    <d v="1998-05-01T00:00:00"/>
    <x v="1"/>
    <n v="9.5920000000000005"/>
    <s v="Poland"/>
  </r>
  <r>
    <n v="11045"/>
    <s v="Bottom-Dollar Markets"/>
    <s v="Suyama, Michael"/>
    <d v="1998-04-23T00:00:00"/>
    <m/>
    <x v="2"/>
    <n v="77.638000000000005"/>
    <s v="Canada"/>
  </r>
  <r>
    <n v="11046"/>
    <s v="Die Wandernde Kuh"/>
    <s v="Callahan, Laura"/>
    <d v="1998-04-23T00:00:00"/>
    <d v="1998-04-24T00:00:00"/>
    <x v="2"/>
    <n v="78.804000000000002"/>
    <s v="Germany"/>
  </r>
  <r>
    <n v="11047"/>
    <s v="Eastern Connection"/>
    <s v="King, Robert"/>
    <d v="1998-04-24T00:00:00"/>
    <d v="1998-05-01T00:00:00"/>
    <x v="0"/>
    <n v="51.281999999999996"/>
    <s v="UK"/>
  </r>
  <r>
    <n v="11048"/>
    <s v="Bottom-Dollar Markets"/>
    <s v="King, Robert"/>
    <d v="1998-04-24T00:00:00"/>
    <d v="1998-04-30T00:00:00"/>
    <x v="0"/>
    <n v="26.532"/>
    <s v="Canada"/>
  </r>
  <r>
    <n v="11049"/>
    <s v="Gourmet Lanchonetes"/>
    <s v="Leverling, Janet"/>
    <d v="1998-04-24T00:00:00"/>
    <d v="1998-05-04T00:00:00"/>
    <x v="1"/>
    <n v="9.1739999999999995"/>
    <s v="Brazil"/>
  </r>
  <r>
    <n v="11050"/>
    <s v="Folk och fä HB"/>
    <s v="Callahan, Laura"/>
    <d v="1998-04-27T00:00:00"/>
    <d v="1998-05-05T00:00:00"/>
    <x v="2"/>
    <n v="65.350999999999999"/>
    <s v="Sweden"/>
  </r>
  <r>
    <n v="11051"/>
    <s v="La maison d'Asie"/>
    <s v="King, Robert"/>
    <d v="1998-04-27T00:00:00"/>
    <m/>
    <x v="0"/>
    <n v="3.069"/>
    <s v="France"/>
  </r>
  <r>
    <n v="11052"/>
    <s v="Hanari Carnes"/>
    <s v="Leverling, Janet"/>
    <d v="1998-04-27T00:00:00"/>
    <d v="1998-05-01T00:00:00"/>
    <x v="1"/>
    <n v="73.986000000000004"/>
    <s v="Brazil"/>
  </r>
  <r>
    <n v="11053"/>
    <s v="Piccolo und mehr"/>
    <s v="Fuller, Andrew"/>
    <d v="1998-04-27T00:00:00"/>
    <d v="1998-04-29T00:00:00"/>
    <x v="2"/>
    <n v="58.354999999999997"/>
    <s v="Austria"/>
  </r>
  <r>
    <n v="11054"/>
    <s v="Cactus Comidas para llevar"/>
    <s v="Callahan, Laura"/>
    <d v="1998-04-28T00:00:00"/>
    <m/>
    <x v="1"/>
    <n v="0.36299999999999999"/>
    <s v="Argentina"/>
  </r>
  <r>
    <n v="11055"/>
    <s v="HILARIÓN-Abastos"/>
    <s v="King, Robert"/>
    <d v="1998-04-28T00:00:00"/>
    <d v="1998-05-05T00:00:00"/>
    <x v="2"/>
    <n v="133.012"/>
    <s v="Venezuela"/>
  </r>
  <r>
    <n v="11056"/>
    <s v="Eastern Connection"/>
    <s v="Callahan, Laura"/>
    <d v="1998-04-28T00:00:00"/>
    <d v="1998-05-01T00:00:00"/>
    <x v="2"/>
    <n v="306.85599999999999"/>
    <s v="UK"/>
  </r>
  <r>
    <n v="11057"/>
    <s v="North/South"/>
    <s v="Leverling, Janet"/>
    <d v="1998-04-29T00:00:00"/>
    <d v="1998-05-01T00:00:00"/>
    <x v="0"/>
    <n v="4.5430000000000001"/>
    <s v="UK"/>
  </r>
  <r>
    <n v="11058"/>
    <s v="Blauer See Delikatessen"/>
    <s v="Dodsworth, Anne"/>
    <d v="1998-04-29T00:00:00"/>
    <m/>
    <x v="0"/>
    <n v="34.253999999999998"/>
    <s v="Germany"/>
  </r>
  <r>
    <n v="11059"/>
    <s v="Ricardo Adocicados"/>
    <s v="Fuller, Andrew"/>
    <d v="1998-04-29T00:00:00"/>
    <m/>
    <x v="2"/>
    <n v="94.38"/>
    <s v="Brazil"/>
  </r>
  <r>
    <n v="11060"/>
    <s v="Franchi S.p.A."/>
    <s v="Fuller, Andrew"/>
    <d v="1998-04-30T00:00:00"/>
    <d v="1998-05-04T00:00:00"/>
    <x v="2"/>
    <n v="12.077999999999999"/>
    <s v="Italy"/>
  </r>
  <r>
    <n v="11061"/>
    <s v="Great Lakes Food Market"/>
    <s v="Peacock, Margaret"/>
    <d v="1998-04-30T00:00:00"/>
    <m/>
    <x v="0"/>
    <n v="15.411"/>
    <s v="USA"/>
  </r>
  <r>
    <n v="11062"/>
    <s v="Reggiani Caseifici"/>
    <s v="Peacock, Margaret"/>
    <d v="1998-04-30T00:00:00"/>
    <m/>
    <x v="2"/>
    <n v="32.923000000000002"/>
    <s v="Italy"/>
  </r>
  <r>
    <n v="11063"/>
    <s v="Hungry Owl All-Night Grocers"/>
    <s v="Leverling, Janet"/>
    <d v="1998-04-30T00:00:00"/>
    <d v="1998-05-06T00:00:00"/>
    <x v="2"/>
    <n v="89.903000000000006"/>
    <s v="Ireland"/>
  </r>
  <r>
    <n v="11064"/>
    <s v="Save-a-lot Markets"/>
    <s v="Davolio, Nancy"/>
    <d v="1998-05-01T00:00:00"/>
    <d v="1998-05-04T00:00:00"/>
    <x v="1"/>
    <n v="33.098999999999997"/>
    <s v="USA"/>
  </r>
  <r>
    <n v="11065"/>
    <s v="LILA-Supermercado"/>
    <s v="Callahan, Laura"/>
    <d v="1998-05-01T00:00:00"/>
    <m/>
    <x v="1"/>
    <n v="14.201000000000001"/>
    <s v="Venezuela"/>
  </r>
  <r>
    <n v="11066"/>
    <s v="White Clover Markets"/>
    <s v="King, Robert"/>
    <d v="1998-05-01T00:00:00"/>
    <d v="1998-05-04T00:00:00"/>
    <x v="2"/>
    <n v="49.192"/>
    <s v="USA"/>
  </r>
  <r>
    <n v="11067"/>
    <s v="Drachenblut Delikatessen"/>
    <s v="Davolio, Nancy"/>
    <d v="1998-05-04T00:00:00"/>
    <d v="1998-05-06T00:00:00"/>
    <x v="2"/>
    <n v="8.7780000000000005"/>
    <s v="Germany"/>
  </r>
  <r>
    <n v="11068"/>
    <s v="Queen Cozinha"/>
    <s v="Callahan, Laura"/>
    <d v="1998-05-04T00:00:00"/>
    <m/>
    <x v="2"/>
    <n v="89.924999999999997"/>
    <s v="Brazil"/>
  </r>
  <r>
    <n v="11069"/>
    <s v="Tortuga Restaurante"/>
    <s v="Davolio, Nancy"/>
    <d v="1998-05-04T00:00:00"/>
    <d v="1998-05-06T00:00:00"/>
    <x v="2"/>
    <n v="17.236999999999998"/>
    <s v="Mexico"/>
  </r>
  <r>
    <n v="11070"/>
    <s v="Lehmanns Marktstand"/>
    <s v="Fuller, Andrew"/>
    <d v="1998-05-05T00:00:00"/>
    <m/>
    <x v="1"/>
    <n v="149.6"/>
    <s v="Germany"/>
  </r>
  <r>
    <n v="11071"/>
    <s v="LILA-Supermercado"/>
    <s v="Davolio, Nancy"/>
    <d v="1998-05-05T00:00:00"/>
    <m/>
    <x v="1"/>
    <n v="1.0229999999999999"/>
    <s v="Venezuela"/>
  </r>
  <r>
    <n v="11072"/>
    <s v="Ernst Handel"/>
    <s v="Peacock, Margaret"/>
    <d v="1998-05-05T00:00:00"/>
    <m/>
    <x v="2"/>
    <n v="284.50400000000002"/>
    <s v="Austria"/>
  </r>
  <r>
    <n v="11073"/>
    <s v="Pericles Comidas clásicas"/>
    <s v="Fuller, Andrew"/>
    <d v="1998-05-05T00:00:00"/>
    <m/>
    <x v="2"/>
    <n v="27.445"/>
    <s v="Mexico"/>
  </r>
  <r>
    <n v="11074"/>
    <s v="Simons bistro"/>
    <s v="King, Robert"/>
    <d v="1998-05-06T00:00:00"/>
    <m/>
    <x v="2"/>
    <n v="20.283999999999999"/>
    <s v="Denmark"/>
  </r>
  <r>
    <n v="11075"/>
    <s v="Richter Supermarkt"/>
    <s v="Callahan, Laura"/>
    <d v="1998-05-06T00:00:00"/>
    <m/>
    <x v="2"/>
    <n v="6.8090000000000002"/>
    <s v="Switzerland"/>
  </r>
  <r>
    <n v="11076"/>
    <s v="Bon app'"/>
    <s v="Peacock, Margaret"/>
    <d v="1998-05-06T00:00:00"/>
    <m/>
    <x v="2"/>
    <n v="42.107999999999997"/>
    <s v="France"/>
  </r>
  <r>
    <n v="11077"/>
    <s v="Rattlesnake Canyon Grocery"/>
    <s v="Davolio, Nancy"/>
    <d v="1998-05-06T00:00:00"/>
    <m/>
    <x v="2"/>
    <n v="9.3829999999999991"/>
    <s v="US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35563-007F-4C47-BC9D-CFBA80ADDEBB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8">
    <pivotField showAll="0"/>
    <pivotField showAll="0"/>
    <pivotField showAll="0"/>
    <pivotField numFmtId="14" showAll="0"/>
    <pivotField showAll="0"/>
    <pivotField showAll="0"/>
    <pivotField numFmtId="44"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AB901-2636-4F5F-A78A-1614A755C262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8">
    <pivotField showAll="0"/>
    <pivotField showAll="0"/>
    <pivotField showAll="0"/>
    <pivotField numFmtId="14" showAll="0"/>
    <pivotField showAll="0"/>
    <pivotField axis="axisRow" showAll="0">
      <items count="4">
        <item x="0"/>
        <item x="1"/>
        <item x="2"/>
        <item t="default"/>
      </items>
    </pivotField>
    <pivotField dataField="1" numFmtId="44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reight" fld="6" baseField="0" baseItem="0" numFmtId="44"/>
    <dataField name="Average of Freight2" fld="6" subtotal="average" baseField="5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1B56F0-2795-425A-9F95-630BE21B6E88}" name="Table2" displayName="Table2" ref="B9:D20" totalsRowShown="0" headerRowDxfId="22">
  <autoFilter ref="B9:D20" xr:uid="{7EF28A09-475B-4A8C-844E-C16FB2512675}"/>
  <tableColumns count="3">
    <tableColumn id="1" xr3:uid="{E4E64CFB-9945-4C15-A551-B8D7EF06A537}" name="PROJECTS"/>
    <tableColumn id="2" xr3:uid="{D1AB6584-6930-421A-AA98-1EA108A173B7}" name="PERCENTAGE" dataDxfId="21" dataCellStyle="Comma"/>
    <tableColumn id="3" xr3:uid="{7FA28F0A-B617-4825-892A-86E0AF338E4A}" name="STATUS" dataDxfId="20">
      <calculatedColumnFormula>IF(C10=1, "COMPLETED", IF(C10&gt;0, "IN PROGRESS"))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AEF6BB-F739-4062-A2C3-CA5AEB251540}" name="CustomerInfo" displayName="CustomerInfo" ref="A1:I92" totalsRowShown="0" dataDxfId="19" tableBorderDxfId="18" dataCellStyle="Normal_Customer Info">
  <autoFilter ref="A1:I92" xr:uid="{33761F1C-CD1E-4D9D-A116-776D8C10A0F3}"/>
  <tableColumns count="9">
    <tableColumn id="1" xr3:uid="{0B21E4DF-1BE9-442C-91B6-5D982E20EAAF}" name="Customer ID" dataDxfId="17" dataCellStyle="Normal_Customer Info"/>
    <tableColumn id="2" xr3:uid="{B2303E18-46EF-4012-AFFF-2F36313522E1}" name="Company Name" dataDxfId="16" dataCellStyle="Normal_Customer Info"/>
    <tableColumn id="3" xr3:uid="{0EB485C1-E027-4E44-9816-163BE46CC5BD}" name="Contact Name" dataDxfId="15" dataCellStyle="Normal_Customer Info"/>
    <tableColumn id="5" xr3:uid="{1CD1DFB3-CC11-4FF5-BE05-FBD86F1E03DC}" name="Address" dataDxfId="14" dataCellStyle="Normal_Customer Info"/>
    <tableColumn id="6" xr3:uid="{6F40B2DC-786B-44FB-BF57-27C1F3C11A50}" name="City" dataDxfId="13" dataCellStyle="Normal_Customer Info"/>
    <tableColumn id="7" xr3:uid="{BE59FE62-06B3-4539-AAEF-4B233706746D}" name="Region" dataDxfId="12" dataCellStyle="Normal_Customer Info"/>
    <tableColumn id="8" xr3:uid="{353BC7A9-288B-485C-BD71-CE2CCA02F728}" name="Postal Code" dataDxfId="11" dataCellStyle="Normal_Customer Info"/>
    <tableColumn id="9" xr3:uid="{0F98A9A0-D426-491A-8D7E-9B7649B52B1D}" name="Country" dataDxfId="10" dataCellStyle="Normal_Customer Info"/>
    <tableColumn id="10" xr3:uid="{0B3205FC-9D0A-4B7A-9CFA-900C03ED71FB}" name="Phone" dataDxfId="9" dataCellStyle="Normal_Customer Info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36F831-7D98-4A98-83BD-76CE79172CF9}" name="Table3" displayName="Table3" ref="B10:H17" totalsRowShown="0">
  <autoFilter ref="B10:H17" xr:uid="{20B99242-5724-40B5-9009-0C629037E436}"/>
  <tableColumns count="7">
    <tableColumn id="1" xr3:uid="{FD1BF31B-F181-4892-8DEA-D9BDFD530C7F}" name="TRAINING CODE"/>
    <tableColumn id="2" xr3:uid="{E70E2EB2-D96E-4DF5-BC55-78AA6F7EDC88}" name="CLASS"/>
    <tableColumn id="3" xr3:uid="{E2D5E53C-F135-4D8C-AE67-B7149C399860}" name="BRANCH">
      <calculatedColumnFormula>MID(B11,4,2)</calculatedColumnFormula>
    </tableColumn>
    <tableColumn id="4" xr3:uid="{B30C424E-11CD-470B-92EB-D5D54D805653}" name="YEAR">
      <calculatedColumnFormula>MID(B11,7,4)</calculatedColumnFormula>
    </tableColumn>
    <tableColumn id="5" xr3:uid="{88DAC759-628A-41A0-8715-0ED75C5C3082}" name="LEVEL CODE" dataDxfId="8">
      <calculatedColumnFormula>RIGHT(Table3[[#This Row],[TRAINING CODE]],2)</calculatedColumnFormula>
    </tableColumn>
    <tableColumn id="6" xr3:uid="{D9B352CE-4C3E-4CEE-89A5-9D991E3DE954}" name="LEVEL" dataDxfId="7">
      <calculatedColumnFormula>VLOOKUP(RIGHT(B11,2),$B$26:$C$30,2,FALSE)</calculatedColumnFormula>
    </tableColumn>
    <tableColumn id="7" xr3:uid="{56FB84C4-842C-45D9-B9B8-56E1C80F2C98}" name="CLASS NAME" dataDxfId="6">
      <calculatedColumnFormula>VLOOKUP(LEFT(B11,2),Table46[#All],2,FALSE)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B36226-4DEB-4AA0-8FF0-40A243373A73}" name="Table4" displayName="Table4" ref="B25:C29" totalsRowShown="0">
  <autoFilter ref="B25:C29" xr:uid="{E7DC5DC1-B19A-4360-A7B3-4F8DA22B397E}"/>
  <tableColumns count="2">
    <tableColumn id="1" xr3:uid="{3944DD68-417D-492E-BCB1-3392F6FE7BE3}" name="LEVEL CODE" dataDxfId="5"/>
    <tableColumn id="2" xr3:uid="{39DA51BD-1853-4265-B942-70D42DC20F6D}" name="LEVE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C2A7AB-1898-44A6-9FEA-8E077BCE8532}" name="Table46" displayName="Table46" ref="E25:F30" totalsRowShown="0">
  <autoFilter ref="E25:F30" xr:uid="{E682CAB9-896A-4283-9366-1FD9B743C4FF}"/>
  <sortState xmlns:xlrd2="http://schemas.microsoft.com/office/spreadsheetml/2017/richdata2" ref="E26:F30">
    <sortCondition ref="E25:E30"/>
  </sortState>
  <tableColumns count="2">
    <tableColumn id="1" xr3:uid="{334C9C64-485B-403E-B9C3-88E194C4081C}" name="CLASS CODE" dataDxfId="4"/>
    <tableColumn id="2" xr3:uid="{1E32367B-22DC-4FA7-9191-F28D5A07A69A}" name="CLASS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5E92A4-5ACE-4A57-B3CF-596C1EFAF072}" name="Table6" displayName="Table6" ref="B7:E127" totalsRowShown="0">
  <autoFilter ref="B7:E127" xr:uid="{B7838FFA-623E-4396-861F-E9699BDE75AA}"/>
  <sortState xmlns:xlrd2="http://schemas.microsoft.com/office/spreadsheetml/2017/richdata2" ref="B8:E127">
    <sortCondition ref="B7:B127"/>
  </sortState>
  <tableColumns count="4">
    <tableColumn id="1" xr3:uid="{8E09452A-7B67-4C48-855D-CFBD7204DD60}" name="MOVIE" dataDxfId="3"/>
    <tableColumn id="2" xr3:uid="{C278F0A8-15A3-422C-A7A5-B3194F40A299}" name="GROSS" dataDxfId="2" dataCellStyle="Currency"/>
    <tableColumn id="3" xr3:uid="{1EC25A71-CFAD-4981-86D7-F95D30A8DD08}" name="YEAR"/>
    <tableColumn id="4" xr3:uid="{224F018D-7E96-4C67-952B-CD3DDA3E031B}" name="RATING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6E336A5-C38D-48F2-8663-52482E1FDF78}" name="PT_ORDER_DATA" displayName="PT_ORDER_DATA" ref="A9:H840" totalsRowCount="1">
  <autoFilter ref="A9:H839" xr:uid="{D6E336A5-C38D-48F2-8663-52482E1FDF78}"/>
  <tableColumns count="8">
    <tableColumn id="1" xr3:uid="{6E3B294D-D896-443B-A474-328FBE5102D0}" name="Order ID" totalsRowLabel="Total"/>
    <tableColumn id="2" xr3:uid="{A1ABF296-6A3D-4458-A3DB-26818A330164}" name="Customer"/>
    <tableColumn id="3" xr3:uid="{71F54F29-1C38-449F-AFA3-5E97F955CDBA}" name="Employee"/>
    <tableColumn id="4" xr3:uid="{D21C6E67-635D-4294-96B4-0E7288973DC7}" name="Order Date"/>
    <tableColumn id="6" xr3:uid="{108BDD0E-F07B-480D-BC19-73FDBECAF1DD}" name="Shipped Date"/>
    <tableColumn id="7" xr3:uid="{E7194EC3-8338-43EA-9765-321ADDF45ECA}" name="Ship Via"/>
    <tableColumn id="8" xr3:uid="{5B8811EA-7B35-4C5D-9D49-8B47046A9FE0}" name="Freight" dataCellStyle="Currency" totalsRowCellStyle="Currency"/>
    <tableColumn id="14" xr3:uid="{F4B5E4DB-18F8-43C3-83FB-D297ED786DEC}" name="Ship Country" totalsRowFunction="cou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oxofficemojo.com/year/2019/?ref_=bo_cso_table_2" TargetMode="External"/><Relationship Id="rId21" Type="http://schemas.openxmlformats.org/officeDocument/2006/relationships/hyperlink" Target="https://www.boxofficemojo.com/year/2002/?ref_=bo_cso_table_21" TargetMode="External"/><Relationship Id="rId42" Type="http://schemas.openxmlformats.org/officeDocument/2006/relationships/hyperlink" Target="https://www.boxofficemojo.com/year/2018/?ref_=bo_cso_table_18" TargetMode="External"/><Relationship Id="rId47" Type="http://schemas.openxmlformats.org/officeDocument/2006/relationships/hyperlink" Target="https://www.boxofficemojo.com/year/2002/?ref_=bo_cso_table_23" TargetMode="External"/><Relationship Id="rId63" Type="http://schemas.openxmlformats.org/officeDocument/2006/relationships/hyperlink" Target="https://www.boxofficemojo.com/year/2014/?ref_=bo_cso_table_3" TargetMode="External"/><Relationship Id="rId68" Type="http://schemas.openxmlformats.org/officeDocument/2006/relationships/hyperlink" Target="https://www.boxofficemojo.com/year/2009/?ref_=bo_cso_table_8" TargetMode="External"/><Relationship Id="rId84" Type="http://schemas.openxmlformats.org/officeDocument/2006/relationships/hyperlink" Target="https://www.boxofficemojo.com/year/1998/?ref_=bo_cso_table_25" TargetMode="External"/><Relationship Id="rId89" Type="http://schemas.openxmlformats.org/officeDocument/2006/relationships/hyperlink" Target="https://www.boxofficemojo.com/year/1999/?ref_=bo_cso_table_30" TargetMode="External"/><Relationship Id="rId16" Type="http://schemas.openxmlformats.org/officeDocument/2006/relationships/hyperlink" Target="https://www.boxofficemojo.com/year/2016/?ref_=bo_cso_table_16" TargetMode="External"/><Relationship Id="rId11" Type="http://schemas.openxmlformats.org/officeDocument/2006/relationships/hyperlink" Target="https://www.boxofficemojo.com/year/2016/?ref_=bo_cso_table_11" TargetMode="External"/><Relationship Id="rId32" Type="http://schemas.openxmlformats.org/officeDocument/2006/relationships/hyperlink" Target="https://www.boxofficemojo.com/year/2012/?ref_=bo_cso_table_8" TargetMode="External"/><Relationship Id="rId37" Type="http://schemas.openxmlformats.org/officeDocument/2006/relationships/hyperlink" Target="https://www.boxofficemojo.com/year/2015/?ref_=bo_cso_table_13" TargetMode="External"/><Relationship Id="rId53" Type="http://schemas.openxmlformats.org/officeDocument/2006/relationships/hyperlink" Target="https://www.boxofficemojo.com/year/2011/?ref_=bo_cso_table_29" TargetMode="External"/><Relationship Id="rId58" Type="http://schemas.openxmlformats.org/officeDocument/2006/relationships/hyperlink" Target="https://www.boxofficemojo.com/year/2011/?ref_=bo_cso_table_34" TargetMode="External"/><Relationship Id="rId74" Type="http://schemas.openxmlformats.org/officeDocument/2006/relationships/hyperlink" Target="https://www.boxofficemojo.com/year/2018/?ref_=bo_cso_table_15" TargetMode="External"/><Relationship Id="rId79" Type="http://schemas.openxmlformats.org/officeDocument/2006/relationships/hyperlink" Target="https://www.boxofficemojo.com/year/2020/?ref_=bo_cso_table_20" TargetMode="External"/><Relationship Id="rId102" Type="http://schemas.openxmlformats.org/officeDocument/2006/relationships/hyperlink" Target="https://www.boxofficemojo.com/year/1987/?ref_=bo_cso_table_43" TargetMode="External"/><Relationship Id="rId5" Type="http://schemas.openxmlformats.org/officeDocument/2006/relationships/hyperlink" Target="https://www.boxofficemojo.com/year/2019/?ref_=bo_cso_table_5" TargetMode="External"/><Relationship Id="rId90" Type="http://schemas.openxmlformats.org/officeDocument/2006/relationships/hyperlink" Target="https://www.boxofficemojo.com/year/2019/?ref_=bo_cso_table_31" TargetMode="External"/><Relationship Id="rId95" Type="http://schemas.openxmlformats.org/officeDocument/2006/relationships/hyperlink" Target="https://www.boxofficemojo.com/year/2012/?ref_=bo_cso_table_36" TargetMode="External"/><Relationship Id="rId22" Type="http://schemas.openxmlformats.org/officeDocument/2006/relationships/hyperlink" Target="https://www.boxofficemojo.com/year/1983/?ref_=bo_cso_table_22" TargetMode="External"/><Relationship Id="rId27" Type="http://schemas.openxmlformats.org/officeDocument/2006/relationships/hyperlink" Target="https://www.boxofficemojo.com/year/2009/?ref_=bo_cso_table_3" TargetMode="External"/><Relationship Id="rId43" Type="http://schemas.openxmlformats.org/officeDocument/2006/relationships/hyperlink" Target="https://www.boxofficemojo.com/year/2017/?ref_=bo_cso_table_19" TargetMode="External"/><Relationship Id="rId48" Type="http://schemas.openxmlformats.org/officeDocument/2006/relationships/hyperlink" Target="https://www.boxofficemojo.com/year/2017/?ref_=bo_cso_table_24" TargetMode="External"/><Relationship Id="rId64" Type="http://schemas.openxmlformats.org/officeDocument/2006/relationships/hyperlink" Target="https://www.boxofficemojo.com/year/2019/?ref_=bo_cso_table_4" TargetMode="External"/><Relationship Id="rId69" Type="http://schemas.openxmlformats.org/officeDocument/2006/relationships/hyperlink" Target="https://www.boxofficemojo.com/year/2011/?ref_=bo_cso_table_9" TargetMode="External"/><Relationship Id="rId80" Type="http://schemas.openxmlformats.org/officeDocument/2006/relationships/hyperlink" Target="https://www.boxofficemojo.com/year/2014/?ref_=bo_cso_table_21" TargetMode="External"/><Relationship Id="rId85" Type="http://schemas.openxmlformats.org/officeDocument/2006/relationships/hyperlink" Target="https://www.boxofficemojo.com/year/2017/?ref_=bo_cso_table_26" TargetMode="External"/><Relationship Id="rId12" Type="http://schemas.openxmlformats.org/officeDocument/2006/relationships/hyperlink" Target="https://www.boxofficemojo.com/year/2013/?ref_=bo_cso_table_12" TargetMode="External"/><Relationship Id="rId17" Type="http://schemas.openxmlformats.org/officeDocument/2006/relationships/hyperlink" Target="https://www.boxofficemojo.com/year/2015/?ref_=bo_cso_table_17" TargetMode="External"/><Relationship Id="rId33" Type="http://schemas.openxmlformats.org/officeDocument/2006/relationships/hyperlink" Target="https://www.boxofficemojo.com/year/2017/?ref_=bo_cso_table_9" TargetMode="External"/><Relationship Id="rId38" Type="http://schemas.openxmlformats.org/officeDocument/2006/relationships/hyperlink" Target="https://www.boxofficemojo.com/year/2012/?ref_=bo_cso_table_14" TargetMode="External"/><Relationship Id="rId59" Type="http://schemas.openxmlformats.org/officeDocument/2006/relationships/hyperlink" Target="https://www.boxofficemojo.com/year/2002/?ref_=bo_cso_table_35" TargetMode="External"/><Relationship Id="rId103" Type="http://schemas.openxmlformats.org/officeDocument/2006/relationships/hyperlink" Target="https://www.boxofficemojo.com/year/2015/?ref_=bo_cso_table_44" TargetMode="External"/><Relationship Id="rId20" Type="http://schemas.openxmlformats.org/officeDocument/2006/relationships/hyperlink" Target="https://www.boxofficemojo.com/year/2001/?ref_=bo_cso_table_20" TargetMode="External"/><Relationship Id="rId41" Type="http://schemas.openxmlformats.org/officeDocument/2006/relationships/hyperlink" Target="https://www.boxofficemojo.com/year/2006/?ref_=bo_cso_table_17" TargetMode="External"/><Relationship Id="rId54" Type="http://schemas.openxmlformats.org/officeDocument/2006/relationships/hyperlink" Target="https://www.boxofficemojo.com/year/2005/?ref_=bo_cso_table_30" TargetMode="External"/><Relationship Id="rId62" Type="http://schemas.openxmlformats.org/officeDocument/2006/relationships/hyperlink" Target="https://www.boxofficemojo.com/year/2016/?ref_=bo_cso_table_2" TargetMode="External"/><Relationship Id="rId70" Type="http://schemas.openxmlformats.org/officeDocument/2006/relationships/hyperlink" Target="https://www.boxofficemojo.com/year/1984/?ref_=bo_cso_table_10" TargetMode="External"/><Relationship Id="rId75" Type="http://schemas.openxmlformats.org/officeDocument/2006/relationships/hyperlink" Target="https://www.boxofficemojo.com/year/2019/?ref_=bo_cso_table_16" TargetMode="External"/><Relationship Id="rId83" Type="http://schemas.openxmlformats.org/officeDocument/2006/relationships/hyperlink" Target="https://www.boxofficemojo.com/year/1990/?ref_=bo_cso_table_24" TargetMode="External"/><Relationship Id="rId88" Type="http://schemas.openxmlformats.org/officeDocument/2006/relationships/hyperlink" Target="https://www.boxofficemojo.com/year/1988/?ref_=bo_cso_table_29" TargetMode="External"/><Relationship Id="rId91" Type="http://schemas.openxmlformats.org/officeDocument/2006/relationships/hyperlink" Target="https://www.boxofficemojo.com/year/2011/?ref_=bo_cso_table_32" TargetMode="External"/><Relationship Id="rId96" Type="http://schemas.openxmlformats.org/officeDocument/2006/relationships/hyperlink" Target="https://www.boxofficemojo.com/year/2015/?ref_=bo_cso_table_37" TargetMode="External"/><Relationship Id="rId1" Type="http://schemas.openxmlformats.org/officeDocument/2006/relationships/hyperlink" Target="https://www.boxofficemojo.com/year/2018/?ref_=bo_cso_table_1" TargetMode="External"/><Relationship Id="rId6" Type="http://schemas.openxmlformats.org/officeDocument/2006/relationships/hyperlink" Target="https://www.boxofficemojo.com/year/1999/?ref_=bo_cso_table_6" TargetMode="External"/><Relationship Id="rId15" Type="http://schemas.openxmlformats.org/officeDocument/2006/relationships/hyperlink" Target="https://www.boxofficemojo.com/year/2019/?ref_=bo_cso_table_15" TargetMode="External"/><Relationship Id="rId23" Type="http://schemas.openxmlformats.org/officeDocument/2006/relationships/hyperlink" Target="https://www.boxofficemojo.com/year/2009/?ref_=bo_cso_table_23" TargetMode="External"/><Relationship Id="rId28" Type="http://schemas.openxmlformats.org/officeDocument/2006/relationships/hyperlink" Target="https://www.boxofficemojo.com/year/2018/?ref_=bo_cso_table_4" TargetMode="External"/><Relationship Id="rId36" Type="http://schemas.openxmlformats.org/officeDocument/2006/relationships/hyperlink" Target="https://www.boxofficemojo.com/year/2019/?ref_=bo_cso_table_12" TargetMode="External"/><Relationship Id="rId49" Type="http://schemas.openxmlformats.org/officeDocument/2006/relationships/hyperlink" Target="https://www.boxofficemojo.com/year/1993/?ref_=bo_cso_table_25" TargetMode="External"/><Relationship Id="rId57" Type="http://schemas.openxmlformats.org/officeDocument/2006/relationships/hyperlink" Target="https://www.boxofficemojo.com/year/2015/?ref_=bo_cso_table_33" TargetMode="External"/><Relationship Id="rId106" Type="http://schemas.openxmlformats.org/officeDocument/2006/relationships/table" Target="../tables/table6.xml"/><Relationship Id="rId10" Type="http://schemas.openxmlformats.org/officeDocument/2006/relationships/hyperlink" Target="https://www.boxofficemojo.com/year/2013/?ref_=bo_cso_table_10" TargetMode="External"/><Relationship Id="rId31" Type="http://schemas.openxmlformats.org/officeDocument/2006/relationships/hyperlink" Target="https://www.boxofficemojo.com/year/2015/?ref_=bo_cso_table_7" TargetMode="External"/><Relationship Id="rId44" Type="http://schemas.openxmlformats.org/officeDocument/2006/relationships/hyperlink" Target="https://www.boxofficemojo.com/year/2013/?ref_=bo_cso_table_20" TargetMode="External"/><Relationship Id="rId52" Type="http://schemas.openxmlformats.org/officeDocument/2006/relationships/hyperlink" Target="https://www.boxofficemojo.com/year/2017/?ref_=bo_cso_table_28" TargetMode="External"/><Relationship Id="rId60" Type="http://schemas.openxmlformats.org/officeDocument/2006/relationships/hyperlink" Target="https://www.boxofficemojo.com/year/2014/?ref_=bo_cso_table_36" TargetMode="External"/><Relationship Id="rId65" Type="http://schemas.openxmlformats.org/officeDocument/2006/relationships/hyperlink" Target="https://www.boxofficemojo.com/year/2017/?ref_=bo_cso_table_5" TargetMode="External"/><Relationship Id="rId73" Type="http://schemas.openxmlformats.org/officeDocument/2006/relationships/hyperlink" Target="https://www.boxofficemojo.com/year/1998/?ref_=bo_cso_table_14" TargetMode="External"/><Relationship Id="rId78" Type="http://schemas.openxmlformats.org/officeDocument/2006/relationships/hyperlink" Target="https://www.boxofficemojo.com/year/1991/?ref_=bo_cso_table_19" TargetMode="External"/><Relationship Id="rId81" Type="http://schemas.openxmlformats.org/officeDocument/2006/relationships/hyperlink" Target="https://www.boxofficemojo.com/year/2000/?ref_=bo_cso_table_22" TargetMode="External"/><Relationship Id="rId86" Type="http://schemas.openxmlformats.org/officeDocument/2006/relationships/hyperlink" Target="https://www.boxofficemojo.com/year/2019/?ref_=bo_cso_table_27" TargetMode="External"/><Relationship Id="rId94" Type="http://schemas.openxmlformats.org/officeDocument/2006/relationships/hyperlink" Target="https://www.boxofficemojo.com/year/2001/?ref_=bo_cso_table_35" TargetMode="External"/><Relationship Id="rId99" Type="http://schemas.openxmlformats.org/officeDocument/2006/relationships/hyperlink" Target="https://www.boxofficemojo.com/year/2019/?ref_=bo_cso_table_40" TargetMode="External"/><Relationship Id="rId101" Type="http://schemas.openxmlformats.org/officeDocument/2006/relationships/hyperlink" Target="https://www.boxofficemojo.com/year/2000/?ref_=bo_cso_table_42" TargetMode="External"/><Relationship Id="rId4" Type="http://schemas.openxmlformats.org/officeDocument/2006/relationships/hyperlink" Target="https://www.boxofficemojo.com/year/2016/?ref_=bo_cso_table_4" TargetMode="External"/><Relationship Id="rId9" Type="http://schemas.openxmlformats.org/officeDocument/2006/relationships/hyperlink" Target="https://www.boxofficemojo.com/year/1982/?ref_=bo_cso_table_9" TargetMode="External"/><Relationship Id="rId13" Type="http://schemas.openxmlformats.org/officeDocument/2006/relationships/hyperlink" Target="https://www.boxofficemojo.com/year/2016/?ref_=bo_cso_table_13" TargetMode="External"/><Relationship Id="rId18" Type="http://schemas.openxmlformats.org/officeDocument/2006/relationships/hyperlink" Target="https://www.boxofficemojo.com/year/2010/?ref_=bo_cso_table_18" TargetMode="External"/><Relationship Id="rId39" Type="http://schemas.openxmlformats.org/officeDocument/2006/relationships/hyperlink" Target="https://www.boxofficemojo.com/year/2019/?ref_=bo_cso_table_15" TargetMode="External"/><Relationship Id="rId34" Type="http://schemas.openxmlformats.org/officeDocument/2006/relationships/hyperlink" Target="https://www.boxofficemojo.com/year/2008/?ref_=bo_cso_table_10" TargetMode="External"/><Relationship Id="rId50" Type="http://schemas.openxmlformats.org/officeDocument/2006/relationships/hyperlink" Target="https://www.boxofficemojo.com/year/2009/?ref_=bo_cso_table_26" TargetMode="External"/><Relationship Id="rId55" Type="http://schemas.openxmlformats.org/officeDocument/2006/relationships/hyperlink" Target="https://www.boxofficemojo.com/year/2003/?ref_=bo_cso_table_31" TargetMode="External"/><Relationship Id="rId76" Type="http://schemas.openxmlformats.org/officeDocument/2006/relationships/hyperlink" Target="https://www.boxofficemojo.com/year/2007/?ref_=bo_cso_table_17" TargetMode="External"/><Relationship Id="rId97" Type="http://schemas.openxmlformats.org/officeDocument/2006/relationships/hyperlink" Target="https://www.boxofficemojo.com/year/2013/?ref_=bo_cso_table_38" TargetMode="External"/><Relationship Id="rId104" Type="http://schemas.openxmlformats.org/officeDocument/2006/relationships/hyperlink" Target="https://www.boxofficemojo.com/year/1996/?ref_=bo_cso_table_45" TargetMode="External"/><Relationship Id="rId7" Type="http://schemas.openxmlformats.org/officeDocument/2006/relationships/hyperlink" Target="https://www.boxofficemojo.com/year/1977/?ref_=bo_cso_table_7" TargetMode="External"/><Relationship Id="rId71" Type="http://schemas.openxmlformats.org/officeDocument/2006/relationships/hyperlink" Target="https://www.boxofficemojo.com/year/2017/?ref_=bo_cso_table_12" TargetMode="External"/><Relationship Id="rId92" Type="http://schemas.openxmlformats.org/officeDocument/2006/relationships/hyperlink" Target="https://www.boxofficemojo.com/year/2014/?ref_=bo_cso_table_33" TargetMode="External"/><Relationship Id="rId2" Type="http://schemas.openxmlformats.org/officeDocument/2006/relationships/hyperlink" Target="https://www.boxofficemojo.com/year/2019/?ref_=bo_cso_table_2" TargetMode="External"/><Relationship Id="rId29" Type="http://schemas.openxmlformats.org/officeDocument/2006/relationships/hyperlink" Target="https://www.boxofficemojo.com/year/2018/?ref_=bo_cso_table_5" TargetMode="External"/><Relationship Id="rId24" Type="http://schemas.openxmlformats.org/officeDocument/2006/relationships/hyperlink" Target="https://www.boxofficemojo.com/year/2009/?ref_=bo_cso_table_24" TargetMode="External"/><Relationship Id="rId40" Type="http://schemas.openxmlformats.org/officeDocument/2006/relationships/hyperlink" Target="https://www.boxofficemojo.com/year/2013/?ref_=bo_cso_table_16" TargetMode="External"/><Relationship Id="rId45" Type="http://schemas.openxmlformats.org/officeDocument/2006/relationships/hyperlink" Target="https://www.boxofficemojo.com/year/2016/?ref_=bo_cso_table_21" TargetMode="External"/><Relationship Id="rId66" Type="http://schemas.openxmlformats.org/officeDocument/2006/relationships/hyperlink" Target="https://www.boxofficemojo.com/year/2018/?ref_=bo_cso_table_6" TargetMode="External"/><Relationship Id="rId87" Type="http://schemas.openxmlformats.org/officeDocument/2006/relationships/hyperlink" Target="https://www.boxofficemojo.com/year/1997/?ref_=bo_cso_table_28" TargetMode="External"/><Relationship Id="rId61" Type="http://schemas.openxmlformats.org/officeDocument/2006/relationships/hyperlink" Target="https://www.boxofficemojo.com/year/2004/?ref_=bo_cso_table_1" TargetMode="External"/><Relationship Id="rId82" Type="http://schemas.openxmlformats.org/officeDocument/2006/relationships/hyperlink" Target="https://www.boxofficemojo.com/year/2015/?ref_=bo_cso_table_23" TargetMode="External"/><Relationship Id="rId19" Type="http://schemas.openxmlformats.org/officeDocument/2006/relationships/hyperlink" Target="https://www.boxofficemojo.com/year/2007/?ref_=bo_cso_table_19" TargetMode="External"/><Relationship Id="rId14" Type="http://schemas.openxmlformats.org/officeDocument/2006/relationships/hyperlink" Target="https://www.boxofficemojo.com/year/2015/?ref_=bo_cso_table_14" TargetMode="External"/><Relationship Id="rId30" Type="http://schemas.openxmlformats.org/officeDocument/2006/relationships/hyperlink" Target="https://www.boxofficemojo.com/year/1997/?ref_=bo_cso_table_6" TargetMode="External"/><Relationship Id="rId35" Type="http://schemas.openxmlformats.org/officeDocument/2006/relationships/hyperlink" Target="https://www.boxofficemojo.com/year/2016/?ref_=bo_cso_table_11" TargetMode="External"/><Relationship Id="rId56" Type="http://schemas.openxmlformats.org/officeDocument/2006/relationships/hyperlink" Target="https://www.boxofficemojo.com/year/2004/?ref_=bo_cso_table_32" TargetMode="External"/><Relationship Id="rId77" Type="http://schemas.openxmlformats.org/officeDocument/2006/relationships/hyperlink" Target="https://www.boxofficemojo.com/year/2005/?ref_=bo_cso_table_18" TargetMode="External"/><Relationship Id="rId100" Type="http://schemas.openxmlformats.org/officeDocument/2006/relationships/hyperlink" Target="https://www.boxofficemojo.com/year/1993/?ref_=bo_cso_table_41" TargetMode="External"/><Relationship Id="rId105" Type="http://schemas.openxmlformats.org/officeDocument/2006/relationships/drawing" Target="../drawings/drawing5.xml"/><Relationship Id="rId8" Type="http://schemas.openxmlformats.org/officeDocument/2006/relationships/hyperlink" Target="https://www.boxofficemojo.com/year/2004/?ref_=bo_cso_table_8" TargetMode="External"/><Relationship Id="rId51" Type="http://schemas.openxmlformats.org/officeDocument/2006/relationships/hyperlink" Target="https://www.boxofficemojo.com/year/2019/?ref_=bo_cso_table_27" TargetMode="External"/><Relationship Id="rId72" Type="http://schemas.openxmlformats.org/officeDocument/2006/relationships/hyperlink" Target="https://www.boxofficemojo.com/year/2012/?ref_=bo_cso_table_13" TargetMode="External"/><Relationship Id="rId93" Type="http://schemas.openxmlformats.org/officeDocument/2006/relationships/hyperlink" Target="https://www.boxofficemojo.com/year/2015/?ref_=bo_cso_table_34" TargetMode="External"/><Relationship Id="rId98" Type="http://schemas.openxmlformats.org/officeDocument/2006/relationships/hyperlink" Target="https://www.boxofficemojo.com/year/2018/?ref_=bo_cso_table_39" TargetMode="External"/><Relationship Id="rId3" Type="http://schemas.openxmlformats.org/officeDocument/2006/relationships/hyperlink" Target="https://www.boxofficemojo.com/year/2017/?ref_=bo_cso_table_3" TargetMode="External"/><Relationship Id="rId25" Type="http://schemas.openxmlformats.org/officeDocument/2006/relationships/hyperlink" Target="https://www.boxofficemojo.com/year/2015/?ref_=bo_cso_table_1" TargetMode="External"/><Relationship Id="rId46" Type="http://schemas.openxmlformats.org/officeDocument/2006/relationships/hyperlink" Target="https://www.boxofficemojo.com/year/2012/?ref_=bo_cso_table_22" TargetMode="External"/><Relationship Id="rId67" Type="http://schemas.openxmlformats.org/officeDocument/2006/relationships/hyperlink" Target="https://www.boxofficemojo.com/year/2003/?ref_=bo_cso_table_7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C5978-159D-40B4-8BB3-B43C47499056}">
  <sheetPr codeName="Sheet1"/>
  <dimension ref="A1"/>
  <sheetViews>
    <sheetView showGridLines="0"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E2469-8990-4AD1-A057-631144DC836C}">
  <sheetPr codeName="Sheet2"/>
  <dimension ref="B1:H20"/>
  <sheetViews>
    <sheetView workbookViewId="0">
      <selection activeCell="F16" sqref="F16"/>
    </sheetView>
  </sheetViews>
  <sheetFormatPr defaultRowHeight="14.25" x14ac:dyDescent="0.45"/>
  <cols>
    <col min="2" max="2" width="15.265625" customWidth="1"/>
    <col min="3" max="3" width="18" customWidth="1"/>
    <col min="4" max="4" width="12.59765625" bestFit="1" customWidth="1"/>
  </cols>
  <sheetData>
    <row r="1" spans="2:8" ht="23.25" x14ac:dyDescent="0.7">
      <c r="B1" s="27" t="s">
        <v>667</v>
      </c>
      <c r="C1" s="27"/>
      <c r="D1" s="27"/>
      <c r="E1" s="27"/>
      <c r="F1" s="27"/>
      <c r="G1" s="27"/>
      <c r="H1" s="27"/>
    </row>
    <row r="9" spans="2:8" ht="18" x14ac:dyDescent="0.55000000000000004">
      <c r="B9" s="4" t="s">
        <v>671</v>
      </c>
      <c r="C9" s="4" t="s">
        <v>669</v>
      </c>
      <c r="D9" s="4" t="s">
        <v>683</v>
      </c>
    </row>
    <row r="10" spans="2:8" x14ac:dyDescent="0.45">
      <c r="B10" t="s">
        <v>672</v>
      </c>
      <c r="C10" s="8">
        <v>0.88</v>
      </c>
      <c r="D10" t="str">
        <f t="shared" ref="D10:D20" si="0">IF(C10=1, "COMPLETED", IF(C10&gt;0, "IN PROGRESS"))</f>
        <v>IN PROGRESS</v>
      </c>
    </row>
    <row r="11" spans="2:8" x14ac:dyDescent="0.45">
      <c r="B11" t="s">
        <v>673</v>
      </c>
      <c r="C11" s="8">
        <v>1</v>
      </c>
      <c r="D11" t="str">
        <f t="shared" si="0"/>
        <v>COMPLETED</v>
      </c>
    </row>
    <row r="12" spans="2:8" x14ac:dyDescent="0.45">
      <c r="B12" t="s">
        <v>674</v>
      </c>
      <c r="C12" s="8">
        <v>0</v>
      </c>
      <c r="D12" t="b">
        <f t="shared" si="0"/>
        <v>0</v>
      </c>
    </row>
    <row r="13" spans="2:8" x14ac:dyDescent="0.45">
      <c r="B13" t="s">
        <v>675</v>
      </c>
      <c r="C13" s="8">
        <v>7.0000000000000007E-2</v>
      </c>
      <c r="D13" t="str">
        <f t="shared" si="0"/>
        <v>IN PROGRESS</v>
      </c>
    </row>
    <row r="14" spans="2:8" x14ac:dyDescent="0.45">
      <c r="B14" t="s">
        <v>676</v>
      </c>
      <c r="C14" s="8">
        <v>0.1</v>
      </c>
      <c r="D14" t="str">
        <f t="shared" si="0"/>
        <v>IN PROGRESS</v>
      </c>
    </row>
    <row r="15" spans="2:8" x14ac:dyDescent="0.45">
      <c r="B15" t="s">
        <v>677</v>
      </c>
      <c r="C15" s="8">
        <v>1</v>
      </c>
      <c r="D15" t="str">
        <f t="shared" si="0"/>
        <v>COMPLETED</v>
      </c>
    </row>
    <row r="16" spans="2:8" x14ac:dyDescent="0.45">
      <c r="B16" t="s">
        <v>678</v>
      </c>
      <c r="C16" s="8">
        <v>0.95</v>
      </c>
      <c r="D16" t="str">
        <f t="shared" si="0"/>
        <v>IN PROGRESS</v>
      </c>
    </row>
    <row r="17" spans="2:4" x14ac:dyDescent="0.45">
      <c r="B17" t="s">
        <v>679</v>
      </c>
      <c r="C17" s="8">
        <v>0.43</v>
      </c>
      <c r="D17" t="str">
        <f t="shared" si="0"/>
        <v>IN PROGRESS</v>
      </c>
    </row>
    <row r="18" spans="2:4" x14ac:dyDescent="0.45">
      <c r="B18" t="s">
        <v>680</v>
      </c>
      <c r="C18" s="8">
        <v>0</v>
      </c>
      <c r="D18" t="b">
        <f t="shared" si="0"/>
        <v>0</v>
      </c>
    </row>
    <row r="19" spans="2:4" x14ac:dyDescent="0.45">
      <c r="B19" t="s">
        <v>681</v>
      </c>
      <c r="C19" s="8">
        <v>1</v>
      </c>
      <c r="D19" t="str">
        <f t="shared" si="0"/>
        <v>COMPLETED</v>
      </c>
    </row>
    <row r="20" spans="2:4" x14ac:dyDescent="0.45">
      <c r="B20" t="s">
        <v>682</v>
      </c>
      <c r="C20" s="8">
        <v>0.44</v>
      </c>
      <c r="D20" t="str">
        <f t="shared" si="0"/>
        <v>IN PROGRESS</v>
      </c>
    </row>
  </sheetData>
  <mergeCells count="1">
    <mergeCell ref="B1:H1"/>
  </mergeCells>
  <conditionalFormatting sqref="C9:C20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{97A6A7A1-C589-4385-AB97-BE0D3926F4EE}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A6A7A1-C589-4385-AB97-BE0D3926F4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C9:C20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4AF91-7B9B-4FD4-B64E-B9DB8FFB5758}">
  <sheetPr codeName="Sheet4"/>
  <dimension ref="B1:J12"/>
  <sheetViews>
    <sheetView topLeftCell="A2" workbookViewId="0">
      <selection activeCell="H12" sqref="H12"/>
    </sheetView>
  </sheetViews>
  <sheetFormatPr defaultRowHeight="14.25" x14ac:dyDescent="0.45"/>
  <cols>
    <col min="1" max="1" width="4.86328125" customWidth="1"/>
    <col min="2" max="2" width="20.3984375" customWidth="1"/>
    <col min="3" max="3" width="4.86328125" customWidth="1"/>
    <col min="4" max="4" width="31.73046875" customWidth="1"/>
    <col min="5" max="5" width="5" customWidth="1"/>
    <col min="6" max="6" width="27.73046875" customWidth="1"/>
    <col min="7" max="7" width="16.73046875" customWidth="1"/>
    <col min="8" max="8" width="10.265625" bestFit="1" customWidth="1"/>
    <col min="9" max="9" width="17" bestFit="1" customWidth="1"/>
    <col min="10" max="10" width="19" customWidth="1"/>
  </cols>
  <sheetData>
    <row r="1" spans="2:10" ht="23.25" x14ac:dyDescent="0.7">
      <c r="B1" s="27" t="s">
        <v>668</v>
      </c>
      <c r="C1" s="27"/>
      <c r="D1" s="27"/>
      <c r="E1" s="27"/>
      <c r="F1" s="27"/>
      <c r="G1" s="27"/>
      <c r="H1" s="27"/>
      <c r="I1" s="27"/>
      <c r="J1" s="27"/>
    </row>
    <row r="8" spans="2:10" ht="21" x14ac:dyDescent="0.65">
      <c r="B8" s="6" t="s">
        <v>659</v>
      </c>
      <c r="D8" s="4" t="s">
        <v>660</v>
      </c>
      <c r="F8" s="4" t="s">
        <v>663</v>
      </c>
      <c r="G8" s="4" t="s">
        <v>664</v>
      </c>
      <c r="H8" s="4" t="s">
        <v>665</v>
      </c>
      <c r="I8" s="4" t="s">
        <v>843</v>
      </c>
      <c r="J8" s="4" t="s">
        <v>666</v>
      </c>
    </row>
    <row r="9" spans="2:10" ht="21" x14ac:dyDescent="0.65">
      <c r="B9" s="7" t="s">
        <v>54</v>
      </c>
      <c r="D9" s="5" t="str">
        <f>VLOOKUP(B9,CustomerInfo[#All],2,FALSE)</f>
        <v>Bólido Comidas preparadas</v>
      </c>
      <c r="F9" s="5" t="str">
        <f>VLOOKUP(B9,CustomerInfo[],4,FALSE)</f>
        <v>C/ Araquil, 67</v>
      </c>
      <c r="G9" s="5" t="str">
        <f>VLOOKUP(B9,CustomerInfo[],5,FALSE)</f>
        <v>Madrid</v>
      </c>
      <c r="H9" s="5" t="str">
        <f>VLOOKUP(B9,CustomerInfo[],6,FALSE)</f>
        <v/>
      </c>
      <c r="I9" s="5" t="str">
        <f>VLOOKUP(B9,CustomerInfo[],7,FALSE)</f>
        <v>28023</v>
      </c>
      <c r="J9" s="5" t="str">
        <f>VLOOKUP(B9,CustomerInfo[],8,FALSE)</f>
        <v>Spain</v>
      </c>
    </row>
    <row r="11" spans="2:10" ht="18" x14ac:dyDescent="0.55000000000000004">
      <c r="D11" s="4" t="s">
        <v>661</v>
      </c>
      <c r="F11" s="4" t="s">
        <v>662</v>
      </c>
    </row>
    <row r="12" spans="2:10" x14ac:dyDescent="0.45">
      <c r="D12" s="5" t="str">
        <f>VLOOKUP(B9,CustomerInfo[],3,FALSE)</f>
        <v>Martín Sommer</v>
      </c>
      <c r="F12" s="5" t="str">
        <f>VLOOKUP(B9,CustomerInfo[],9,FALSE)</f>
        <v>(91) 555 22 82</v>
      </c>
    </row>
  </sheetData>
  <mergeCells count="1">
    <mergeCell ref="B1:J1"/>
  </mergeCells>
  <conditionalFormatting sqref="J9">
    <cfRule type="containsText" dxfId="1" priority="1" operator="containsText" text="Sp">
      <formula>NOT(ISERROR(SEARCH("Sp",J9)))</formula>
    </cfRule>
    <cfRule type="containsText" dxfId="0" priority="2" operator="containsText" text="Spain">
      <formula>NOT(ISERROR(SEARCH("Spain",J9)))</formula>
    </cfRule>
    <cfRule type="containsText" priority="3" operator="containsText" text="Spain">
      <formula>NOT(ISERROR(SEARCH("Spain",J9)))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9D66EEB-98C7-41B4-91DB-89D2BF6B19A6}">
          <x14:formula1>
            <xm:f>'CUSTOMER INFO'!$A$2:$A$92</xm:f>
          </x14:formula1>
          <xm:sqref>B9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9B99E-9E10-43FD-80BD-1E46D0C8D162}">
  <sheetPr codeName="Sheet6"/>
  <dimension ref="A1:I92"/>
  <sheetViews>
    <sheetView workbookViewId="0">
      <selection activeCell="F11" sqref="F11"/>
    </sheetView>
  </sheetViews>
  <sheetFormatPr defaultRowHeight="14.25" x14ac:dyDescent="0.45"/>
  <cols>
    <col min="1" max="1" width="14.1328125" bestFit="1" customWidth="1"/>
    <col min="2" max="2" width="33.1328125" bestFit="1" customWidth="1"/>
    <col min="3" max="3" width="25.59765625" customWidth="1"/>
    <col min="4" max="4" width="41.73046875" bestFit="1" customWidth="1"/>
    <col min="5" max="5" width="13.86328125" bestFit="1" customWidth="1"/>
    <col min="6" max="7" width="13.73046875" bestFit="1" customWidth="1"/>
    <col min="8" max="8" width="11.3984375" bestFit="1" customWidth="1"/>
    <col min="9" max="9" width="15.265625" bestFit="1" customWidth="1"/>
  </cols>
  <sheetData>
    <row r="1" spans="1:9" x14ac:dyDescent="0.45">
      <c r="A1" t="s">
        <v>650</v>
      </c>
      <c r="B1" t="s">
        <v>651</v>
      </c>
      <c r="C1" t="s">
        <v>652</v>
      </c>
      <c r="D1" t="s">
        <v>653</v>
      </c>
      <c r="E1" t="s">
        <v>654</v>
      </c>
      <c r="F1" t="s">
        <v>655</v>
      </c>
      <c r="G1" t="s">
        <v>656</v>
      </c>
      <c r="H1" t="s">
        <v>657</v>
      </c>
      <c r="I1" t="s">
        <v>658</v>
      </c>
    </row>
    <row r="2" spans="1:9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4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5</v>
      </c>
      <c r="G3" s="1" t="s">
        <v>14</v>
      </c>
      <c r="H3" s="1" t="s">
        <v>15</v>
      </c>
      <c r="I3" s="1" t="s">
        <v>16</v>
      </c>
    </row>
    <row r="4" spans="1:9" x14ac:dyDescent="0.45">
      <c r="A4" s="1" t="s">
        <v>17</v>
      </c>
      <c r="B4" s="1" t="s">
        <v>18</v>
      </c>
      <c r="C4" s="1" t="s">
        <v>19</v>
      </c>
      <c r="D4" s="1" t="s">
        <v>20</v>
      </c>
      <c r="E4" s="1" t="s">
        <v>13</v>
      </c>
      <c r="F4" s="1" t="s">
        <v>5</v>
      </c>
      <c r="G4" s="1" t="s">
        <v>21</v>
      </c>
      <c r="H4" s="1" t="s">
        <v>15</v>
      </c>
      <c r="I4" s="1" t="s">
        <v>22</v>
      </c>
    </row>
    <row r="5" spans="1:9" x14ac:dyDescent="0.4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5</v>
      </c>
      <c r="G5" s="1" t="s">
        <v>28</v>
      </c>
      <c r="H5" s="1" t="s">
        <v>29</v>
      </c>
      <c r="I5" s="1" t="s">
        <v>30</v>
      </c>
    </row>
    <row r="6" spans="1:9" x14ac:dyDescent="0.45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5</v>
      </c>
      <c r="G6" s="1" t="s">
        <v>36</v>
      </c>
      <c r="H6" s="1" t="s">
        <v>37</v>
      </c>
      <c r="I6" s="1" t="s">
        <v>38</v>
      </c>
    </row>
    <row r="7" spans="1:9" x14ac:dyDescent="0.45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5</v>
      </c>
      <c r="G7" s="1" t="s">
        <v>44</v>
      </c>
      <c r="H7" s="1" t="s">
        <v>7</v>
      </c>
      <c r="I7" s="1" t="s">
        <v>45</v>
      </c>
    </row>
    <row r="8" spans="1:9" x14ac:dyDescent="0.45">
      <c r="A8" s="1" t="s">
        <v>46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</v>
      </c>
      <c r="G8" s="1" t="s">
        <v>51</v>
      </c>
      <c r="H8" s="1" t="s">
        <v>52</v>
      </c>
      <c r="I8" s="1" t="s">
        <v>53</v>
      </c>
    </row>
    <row r="9" spans="1:9" x14ac:dyDescent="0.45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</v>
      </c>
      <c r="G9" s="1" t="s">
        <v>59</v>
      </c>
      <c r="H9" s="1" t="s">
        <v>60</v>
      </c>
      <c r="I9" s="1" t="s">
        <v>61</v>
      </c>
    </row>
    <row r="10" spans="1:9" x14ac:dyDescent="0.45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5</v>
      </c>
      <c r="G10" s="1" t="s">
        <v>67</v>
      </c>
      <c r="H10" s="1" t="s">
        <v>52</v>
      </c>
      <c r="I10" s="1" t="s">
        <v>68</v>
      </c>
    </row>
    <row r="11" spans="1:9" x14ac:dyDescent="0.45">
      <c r="A11" s="1" t="s">
        <v>69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74</v>
      </c>
      <c r="G11" s="1" t="s">
        <v>75</v>
      </c>
      <c r="H11" s="1" t="s">
        <v>76</v>
      </c>
      <c r="I11" s="1" t="s">
        <v>77</v>
      </c>
    </row>
    <row r="12" spans="1:9" x14ac:dyDescent="0.45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27</v>
      </c>
      <c r="F12" s="1" t="s">
        <v>5</v>
      </c>
      <c r="G12" s="1" t="s">
        <v>82</v>
      </c>
      <c r="H12" s="1" t="s">
        <v>29</v>
      </c>
      <c r="I12" s="1" t="s">
        <v>83</v>
      </c>
    </row>
    <row r="13" spans="1:9" x14ac:dyDescent="0.4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5</v>
      </c>
      <c r="G13" s="1" t="s">
        <v>89</v>
      </c>
      <c r="H13" s="1" t="s">
        <v>90</v>
      </c>
      <c r="I13" s="1" t="s">
        <v>91</v>
      </c>
    </row>
    <row r="14" spans="1:9" x14ac:dyDescent="0.45">
      <c r="A14" s="1" t="s">
        <v>92</v>
      </c>
      <c r="B14" s="1" t="s">
        <v>93</v>
      </c>
      <c r="C14" s="1" t="s">
        <v>94</v>
      </c>
      <c r="D14" s="1" t="s">
        <v>95</v>
      </c>
      <c r="E14" s="1" t="s">
        <v>13</v>
      </c>
      <c r="F14" s="1" t="s">
        <v>5</v>
      </c>
      <c r="G14" s="1" t="s">
        <v>96</v>
      </c>
      <c r="H14" s="1" t="s">
        <v>15</v>
      </c>
      <c r="I14" s="1" t="s">
        <v>97</v>
      </c>
    </row>
    <row r="15" spans="1:9" x14ac:dyDescent="0.45">
      <c r="A15" s="1" t="s">
        <v>98</v>
      </c>
      <c r="B15" s="1" t="s">
        <v>99</v>
      </c>
      <c r="C15" s="1" t="s">
        <v>100</v>
      </c>
      <c r="D15" s="1" t="s">
        <v>101</v>
      </c>
      <c r="E15" s="1" t="s">
        <v>102</v>
      </c>
      <c r="F15" s="1" t="s">
        <v>5</v>
      </c>
      <c r="G15" s="1" t="s">
        <v>103</v>
      </c>
      <c r="H15" s="1" t="s">
        <v>104</v>
      </c>
      <c r="I15" s="1" t="s">
        <v>105</v>
      </c>
    </row>
    <row r="16" spans="1:9" x14ac:dyDescent="0.45">
      <c r="A16" s="1" t="s">
        <v>106</v>
      </c>
      <c r="B16" s="1" t="s">
        <v>107</v>
      </c>
      <c r="C16" s="1" t="s">
        <v>108</v>
      </c>
      <c r="D16" s="1" t="s">
        <v>109</v>
      </c>
      <c r="E16" s="1" t="s">
        <v>110</v>
      </c>
      <c r="F16" s="1" t="s">
        <v>111</v>
      </c>
      <c r="G16" s="1" t="s">
        <v>112</v>
      </c>
      <c r="H16" s="1" t="s">
        <v>113</v>
      </c>
      <c r="I16" s="1" t="s">
        <v>114</v>
      </c>
    </row>
    <row r="17" spans="1:9" x14ac:dyDescent="0.45">
      <c r="A17" s="1" t="s">
        <v>115</v>
      </c>
      <c r="B17" s="1" t="s">
        <v>116</v>
      </c>
      <c r="C17" s="1" t="s">
        <v>117</v>
      </c>
      <c r="D17" s="1" t="s">
        <v>118</v>
      </c>
      <c r="E17" s="1" t="s">
        <v>27</v>
      </c>
      <c r="F17" s="1" t="s">
        <v>5</v>
      </c>
      <c r="G17" s="1" t="s">
        <v>119</v>
      </c>
      <c r="H17" s="1" t="s">
        <v>29</v>
      </c>
      <c r="I17" s="1" t="s">
        <v>120</v>
      </c>
    </row>
    <row r="18" spans="1:9" x14ac:dyDescent="0.45">
      <c r="A18" s="1" t="s">
        <v>121</v>
      </c>
      <c r="B18" s="1" t="s">
        <v>122</v>
      </c>
      <c r="C18" s="1" t="s">
        <v>123</v>
      </c>
      <c r="D18" s="1" t="s">
        <v>124</v>
      </c>
      <c r="E18" s="1" t="s">
        <v>125</v>
      </c>
      <c r="F18" s="1" t="s">
        <v>5</v>
      </c>
      <c r="G18" s="1" t="s">
        <v>126</v>
      </c>
      <c r="H18" s="1" t="s">
        <v>7</v>
      </c>
      <c r="I18" s="1" t="s">
        <v>127</v>
      </c>
    </row>
    <row r="19" spans="1:9" x14ac:dyDescent="0.45">
      <c r="A19" s="1" t="s">
        <v>128</v>
      </c>
      <c r="B19" s="1" t="s">
        <v>129</v>
      </c>
      <c r="C19" s="1" t="s">
        <v>130</v>
      </c>
      <c r="D19" s="1" t="s">
        <v>131</v>
      </c>
      <c r="E19" s="1" t="s">
        <v>132</v>
      </c>
      <c r="F19" s="1" t="s">
        <v>5</v>
      </c>
      <c r="G19" s="1" t="s">
        <v>133</v>
      </c>
      <c r="H19" s="1" t="s">
        <v>52</v>
      </c>
      <c r="I19" s="1" t="s">
        <v>134</v>
      </c>
    </row>
    <row r="20" spans="1:9" x14ac:dyDescent="0.45">
      <c r="A20" s="1" t="s">
        <v>135</v>
      </c>
      <c r="B20" s="1" t="s">
        <v>136</v>
      </c>
      <c r="C20" s="1" t="s">
        <v>137</v>
      </c>
      <c r="D20" s="1" t="s">
        <v>138</v>
      </c>
      <c r="E20" s="1" t="s">
        <v>27</v>
      </c>
      <c r="F20" s="1" t="s">
        <v>5</v>
      </c>
      <c r="G20" s="1" t="s">
        <v>139</v>
      </c>
      <c r="H20" s="1" t="s">
        <v>29</v>
      </c>
      <c r="I20" s="1" t="s">
        <v>140</v>
      </c>
    </row>
    <row r="21" spans="1:9" x14ac:dyDescent="0.45">
      <c r="A21" s="1" t="s">
        <v>141</v>
      </c>
      <c r="B21" s="1" t="s">
        <v>142</v>
      </c>
      <c r="C21" s="1" t="s">
        <v>143</v>
      </c>
      <c r="D21" s="1" t="s">
        <v>144</v>
      </c>
      <c r="E21" s="1" t="s">
        <v>145</v>
      </c>
      <c r="F21" s="1" t="s">
        <v>5</v>
      </c>
      <c r="G21" s="1" t="s">
        <v>146</v>
      </c>
      <c r="H21" s="1" t="s">
        <v>147</v>
      </c>
      <c r="I21" s="1" t="s">
        <v>148</v>
      </c>
    </row>
    <row r="22" spans="1:9" x14ac:dyDescent="0.45">
      <c r="A22" s="1" t="s">
        <v>149</v>
      </c>
      <c r="B22" s="1" t="s">
        <v>150</v>
      </c>
      <c r="C22" s="1" t="s">
        <v>151</v>
      </c>
      <c r="D22" s="1" t="s">
        <v>152</v>
      </c>
      <c r="E22" s="1" t="s">
        <v>110</v>
      </c>
      <c r="F22" s="1" t="s">
        <v>111</v>
      </c>
      <c r="G22" s="1" t="s">
        <v>153</v>
      </c>
      <c r="H22" s="1" t="s">
        <v>113</v>
      </c>
      <c r="I22" s="1" t="s">
        <v>154</v>
      </c>
    </row>
    <row r="23" spans="1:9" x14ac:dyDescent="0.45">
      <c r="A23" s="1" t="s">
        <v>155</v>
      </c>
      <c r="B23" s="1" t="s">
        <v>156</v>
      </c>
      <c r="C23" s="1" t="s">
        <v>157</v>
      </c>
      <c r="D23" s="1" t="s">
        <v>158</v>
      </c>
      <c r="E23" s="1" t="s">
        <v>58</v>
      </c>
      <c r="F23" s="1" t="s">
        <v>5</v>
      </c>
      <c r="G23" s="1" t="s">
        <v>159</v>
      </c>
      <c r="H23" s="1" t="s">
        <v>60</v>
      </c>
      <c r="I23" s="1" t="s">
        <v>160</v>
      </c>
    </row>
    <row r="24" spans="1:9" x14ac:dyDescent="0.45">
      <c r="A24" s="1" t="s">
        <v>161</v>
      </c>
      <c r="B24" s="1" t="s">
        <v>162</v>
      </c>
      <c r="C24" s="1" t="s">
        <v>163</v>
      </c>
      <c r="D24" s="1" t="s">
        <v>164</v>
      </c>
      <c r="E24" s="1" t="s">
        <v>165</v>
      </c>
      <c r="F24" s="1" t="s">
        <v>5</v>
      </c>
      <c r="G24" s="1" t="s">
        <v>166</v>
      </c>
      <c r="H24" s="1" t="s">
        <v>52</v>
      </c>
      <c r="I24" s="1" t="s">
        <v>167</v>
      </c>
    </row>
    <row r="25" spans="1:9" x14ac:dyDescent="0.45">
      <c r="A25" s="1" t="s">
        <v>168</v>
      </c>
      <c r="B25" s="1" t="s">
        <v>169</v>
      </c>
      <c r="C25" s="1" t="s">
        <v>170</v>
      </c>
      <c r="D25" s="1" t="s">
        <v>171</v>
      </c>
      <c r="E25" s="1" t="s">
        <v>172</v>
      </c>
      <c r="F25" s="1" t="s">
        <v>5</v>
      </c>
      <c r="G25" s="1" t="s">
        <v>173</v>
      </c>
      <c r="H25" s="1" t="s">
        <v>37</v>
      </c>
      <c r="I25" s="1" t="s">
        <v>174</v>
      </c>
    </row>
    <row r="26" spans="1:9" x14ac:dyDescent="0.45">
      <c r="A26" s="1" t="s">
        <v>175</v>
      </c>
      <c r="B26" s="1" t="s">
        <v>176</v>
      </c>
      <c r="C26" s="1" t="s">
        <v>177</v>
      </c>
      <c r="D26" s="1" t="s">
        <v>178</v>
      </c>
      <c r="E26" s="1" t="s">
        <v>179</v>
      </c>
      <c r="F26" s="1" t="s">
        <v>5</v>
      </c>
      <c r="G26" s="1" t="s">
        <v>180</v>
      </c>
      <c r="H26" s="1" t="s">
        <v>7</v>
      </c>
      <c r="I26" s="1" t="s">
        <v>181</v>
      </c>
    </row>
    <row r="27" spans="1:9" x14ac:dyDescent="0.45">
      <c r="A27" s="1" t="s">
        <v>182</v>
      </c>
      <c r="B27" s="1" t="s">
        <v>183</v>
      </c>
      <c r="C27" s="1" t="s">
        <v>184</v>
      </c>
      <c r="D27" s="1" t="s">
        <v>185</v>
      </c>
      <c r="E27" s="1" t="s">
        <v>132</v>
      </c>
      <c r="F27" s="1" t="s">
        <v>5</v>
      </c>
      <c r="G27" s="1" t="s">
        <v>133</v>
      </c>
      <c r="H27" s="1" t="s">
        <v>52</v>
      </c>
      <c r="I27" s="1" t="s">
        <v>186</v>
      </c>
    </row>
    <row r="28" spans="1:9" x14ac:dyDescent="0.45">
      <c r="A28" s="1" t="s">
        <v>187</v>
      </c>
      <c r="B28" s="1" t="s">
        <v>188</v>
      </c>
      <c r="C28" s="1" t="s">
        <v>189</v>
      </c>
      <c r="D28" s="1" t="s">
        <v>190</v>
      </c>
      <c r="E28" s="1" t="s">
        <v>191</v>
      </c>
      <c r="F28" s="1" t="s">
        <v>5</v>
      </c>
      <c r="G28" s="1" t="s">
        <v>192</v>
      </c>
      <c r="H28" s="1" t="s">
        <v>193</v>
      </c>
      <c r="I28" s="1" t="s">
        <v>194</v>
      </c>
    </row>
    <row r="29" spans="1:9" x14ac:dyDescent="0.45">
      <c r="A29" s="1" t="s">
        <v>195</v>
      </c>
      <c r="B29" s="1" t="s">
        <v>196</v>
      </c>
      <c r="C29" s="1" t="s">
        <v>197</v>
      </c>
      <c r="D29" s="1" t="s">
        <v>198</v>
      </c>
      <c r="E29" s="1" t="s">
        <v>199</v>
      </c>
      <c r="F29" s="1" t="s">
        <v>5</v>
      </c>
      <c r="G29" s="1" t="s">
        <v>200</v>
      </c>
      <c r="H29" s="1" t="s">
        <v>201</v>
      </c>
      <c r="I29" s="1" t="s">
        <v>202</v>
      </c>
    </row>
    <row r="30" spans="1:9" x14ac:dyDescent="0.45">
      <c r="A30" s="1" t="s">
        <v>203</v>
      </c>
      <c r="B30" s="1" t="s">
        <v>204</v>
      </c>
      <c r="C30" s="1" t="s">
        <v>205</v>
      </c>
      <c r="D30" s="1" t="s">
        <v>206</v>
      </c>
      <c r="E30" s="1" t="s">
        <v>207</v>
      </c>
      <c r="F30" s="1" t="s">
        <v>5</v>
      </c>
      <c r="G30" s="1" t="s">
        <v>208</v>
      </c>
      <c r="H30" s="1" t="s">
        <v>60</v>
      </c>
      <c r="I30" s="1" t="s">
        <v>209</v>
      </c>
    </row>
    <row r="31" spans="1:9" x14ac:dyDescent="0.45">
      <c r="A31" s="1" t="s">
        <v>210</v>
      </c>
      <c r="B31" s="1" t="s">
        <v>211</v>
      </c>
      <c r="C31" s="1" t="s">
        <v>212</v>
      </c>
      <c r="D31" s="1" t="s">
        <v>213</v>
      </c>
      <c r="E31" s="1" t="s">
        <v>214</v>
      </c>
      <c r="F31" s="1" t="s">
        <v>5</v>
      </c>
      <c r="G31" s="1" t="s">
        <v>215</v>
      </c>
      <c r="H31" s="1" t="s">
        <v>60</v>
      </c>
      <c r="I31" s="1" t="s">
        <v>216</v>
      </c>
    </row>
    <row r="32" spans="1:9" x14ac:dyDescent="0.45">
      <c r="A32" s="1" t="s">
        <v>217</v>
      </c>
      <c r="B32" s="1" t="s">
        <v>218</v>
      </c>
      <c r="C32" s="1" t="s">
        <v>219</v>
      </c>
      <c r="D32" s="1" t="s">
        <v>220</v>
      </c>
      <c r="E32" s="1" t="s">
        <v>221</v>
      </c>
      <c r="F32" s="1" t="s">
        <v>111</v>
      </c>
      <c r="G32" s="1" t="s">
        <v>222</v>
      </c>
      <c r="H32" s="1" t="s">
        <v>113</v>
      </c>
      <c r="I32" s="1" t="s">
        <v>223</v>
      </c>
    </row>
    <row r="33" spans="1:9" x14ac:dyDescent="0.45">
      <c r="A33" s="1" t="s">
        <v>224</v>
      </c>
      <c r="B33" s="1" t="s">
        <v>225</v>
      </c>
      <c r="C33" s="1" t="s">
        <v>226</v>
      </c>
      <c r="D33" s="1" t="s">
        <v>227</v>
      </c>
      <c r="E33" s="1" t="s">
        <v>228</v>
      </c>
      <c r="F33" s="1" t="s">
        <v>229</v>
      </c>
      <c r="G33" s="1" t="s">
        <v>230</v>
      </c>
      <c r="H33" s="1" t="s">
        <v>231</v>
      </c>
      <c r="I33" s="1" t="s">
        <v>232</v>
      </c>
    </row>
    <row r="34" spans="1:9" x14ac:dyDescent="0.45">
      <c r="A34" s="1" t="s">
        <v>233</v>
      </c>
      <c r="B34" s="1" t="s">
        <v>234</v>
      </c>
      <c r="C34" s="1" t="s">
        <v>235</v>
      </c>
      <c r="D34" s="1" t="s">
        <v>236</v>
      </c>
      <c r="E34" s="1" t="s">
        <v>237</v>
      </c>
      <c r="F34" s="1" t="s">
        <v>238</v>
      </c>
      <c r="G34" s="1" t="s">
        <v>239</v>
      </c>
      <c r="H34" s="1" t="s">
        <v>240</v>
      </c>
      <c r="I34" s="1" t="s">
        <v>241</v>
      </c>
    </row>
    <row r="35" spans="1:9" x14ac:dyDescent="0.45">
      <c r="A35" s="1" t="s">
        <v>242</v>
      </c>
      <c r="B35" s="1" t="s">
        <v>243</v>
      </c>
      <c r="C35" s="1" t="s">
        <v>244</v>
      </c>
      <c r="D35" s="1" t="s">
        <v>245</v>
      </c>
      <c r="E35" s="1" t="s">
        <v>246</v>
      </c>
      <c r="F35" s="1" t="s">
        <v>247</v>
      </c>
      <c r="G35" s="1" t="s">
        <v>248</v>
      </c>
      <c r="H35" s="1" t="s">
        <v>113</v>
      </c>
      <c r="I35" s="1" t="s">
        <v>249</v>
      </c>
    </row>
    <row r="36" spans="1:9" x14ac:dyDescent="0.45">
      <c r="A36" s="1" t="s">
        <v>250</v>
      </c>
      <c r="B36" s="1" t="s">
        <v>251</v>
      </c>
      <c r="C36" s="1" t="s">
        <v>252</v>
      </c>
      <c r="D36" s="1" t="s">
        <v>253</v>
      </c>
      <c r="E36" s="1" t="s">
        <v>254</v>
      </c>
      <c r="F36" s="1" t="s">
        <v>255</v>
      </c>
      <c r="G36" s="1" t="s">
        <v>256</v>
      </c>
      <c r="H36" s="1" t="s">
        <v>240</v>
      </c>
      <c r="I36" s="1" t="s">
        <v>257</v>
      </c>
    </row>
    <row r="37" spans="1:9" x14ac:dyDescent="0.45">
      <c r="A37" s="1" t="s">
        <v>258</v>
      </c>
      <c r="B37" s="1" t="s">
        <v>259</v>
      </c>
      <c r="C37" s="1" t="s">
        <v>260</v>
      </c>
      <c r="D37" s="1" t="s">
        <v>261</v>
      </c>
      <c r="E37" s="1" t="s">
        <v>262</v>
      </c>
      <c r="F37" s="1" t="s">
        <v>229</v>
      </c>
      <c r="G37" s="1" t="s">
        <v>263</v>
      </c>
      <c r="H37" s="1" t="s">
        <v>231</v>
      </c>
      <c r="I37" s="1" t="s">
        <v>264</v>
      </c>
    </row>
    <row r="38" spans="1:9" x14ac:dyDescent="0.45">
      <c r="A38" s="1" t="s">
        <v>265</v>
      </c>
      <c r="B38" s="1" t="s">
        <v>266</v>
      </c>
      <c r="C38" s="1" t="s">
        <v>267</v>
      </c>
      <c r="D38" s="1" t="s">
        <v>268</v>
      </c>
      <c r="E38" s="1" t="s">
        <v>269</v>
      </c>
      <c r="F38" s="1" t="s">
        <v>270</v>
      </c>
      <c r="G38" s="1" t="s">
        <v>5</v>
      </c>
      <c r="H38" s="1" t="s">
        <v>271</v>
      </c>
      <c r="I38" s="1" t="s">
        <v>272</v>
      </c>
    </row>
    <row r="39" spans="1:9" x14ac:dyDescent="0.45">
      <c r="A39" s="1" t="s">
        <v>273</v>
      </c>
      <c r="B39" s="1" t="s">
        <v>274</v>
      </c>
      <c r="C39" s="1" t="s">
        <v>275</v>
      </c>
      <c r="D39" s="1" t="s">
        <v>276</v>
      </c>
      <c r="E39" s="1" t="s">
        <v>277</v>
      </c>
      <c r="F39" s="1" t="s">
        <v>278</v>
      </c>
      <c r="G39" s="1" t="s">
        <v>279</v>
      </c>
      <c r="H39" s="1" t="s">
        <v>29</v>
      </c>
      <c r="I39" s="1" t="s">
        <v>280</v>
      </c>
    </row>
    <row r="40" spans="1:9" x14ac:dyDescent="0.45">
      <c r="A40" s="1" t="s">
        <v>281</v>
      </c>
      <c r="B40" s="1" t="s">
        <v>282</v>
      </c>
      <c r="C40" s="1" t="s">
        <v>283</v>
      </c>
      <c r="D40" s="1" t="s">
        <v>284</v>
      </c>
      <c r="E40" s="1" t="s">
        <v>285</v>
      </c>
      <c r="F40" s="1" t="s">
        <v>5</v>
      </c>
      <c r="G40" s="1" t="s">
        <v>286</v>
      </c>
      <c r="H40" s="1" t="s">
        <v>7</v>
      </c>
      <c r="I40" s="1" t="s">
        <v>287</v>
      </c>
    </row>
    <row r="41" spans="1:9" x14ac:dyDescent="0.45">
      <c r="A41" s="1" t="s">
        <v>288</v>
      </c>
      <c r="B41" s="1" t="s">
        <v>289</v>
      </c>
      <c r="C41" s="1" t="s">
        <v>290</v>
      </c>
      <c r="D41" s="1" t="s">
        <v>291</v>
      </c>
      <c r="E41" s="1" t="s">
        <v>292</v>
      </c>
      <c r="F41" s="1" t="s">
        <v>5</v>
      </c>
      <c r="G41" s="1" t="s">
        <v>293</v>
      </c>
      <c r="H41" s="1" t="s">
        <v>52</v>
      </c>
      <c r="I41" s="1" t="s">
        <v>294</v>
      </c>
    </row>
    <row r="42" spans="1:9" x14ac:dyDescent="0.45">
      <c r="A42" s="1" t="s">
        <v>295</v>
      </c>
      <c r="B42" s="1" t="s">
        <v>296</v>
      </c>
      <c r="C42" s="1" t="s">
        <v>297</v>
      </c>
      <c r="D42" s="1" t="s">
        <v>298</v>
      </c>
      <c r="E42" s="1" t="s">
        <v>299</v>
      </c>
      <c r="F42" s="1" t="s">
        <v>5</v>
      </c>
      <c r="G42" s="1" t="s">
        <v>300</v>
      </c>
      <c r="H42" s="1" t="s">
        <v>52</v>
      </c>
      <c r="I42" s="1" t="s">
        <v>301</v>
      </c>
    </row>
    <row r="43" spans="1:9" x14ac:dyDescent="0.45">
      <c r="A43" s="1" t="s">
        <v>302</v>
      </c>
      <c r="B43" s="1" t="s">
        <v>303</v>
      </c>
      <c r="C43" s="1" t="s">
        <v>304</v>
      </c>
      <c r="D43" s="1" t="s">
        <v>305</v>
      </c>
      <c r="E43" s="1" t="s">
        <v>306</v>
      </c>
      <c r="F43" s="1" t="s">
        <v>74</v>
      </c>
      <c r="G43" s="1" t="s">
        <v>307</v>
      </c>
      <c r="H43" s="1" t="s">
        <v>76</v>
      </c>
      <c r="I43" s="1" t="s">
        <v>308</v>
      </c>
    </row>
    <row r="44" spans="1:9" x14ac:dyDescent="0.45">
      <c r="A44" s="1" t="s">
        <v>309</v>
      </c>
      <c r="B44" s="1" t="s">
        <v>310</v>
      </c>
      <c r="C44" s="1" t="s">
        <v>311</v>
      </c>
      <c r="D44" s="1" t="s">
        <v>312</v>
      </c>
      <c r="E44" s="1" t="s">
        <v>313</v>
      </c>
      <c r="F44" s="1" t="s">
        <v>314</v>
      </c>
      <c r="G44" s="1" t="s">
        <v>315</v>
      </c>
      <c r="H44" s="1" t="s">
        <v>231</v>
      </c>
      <c r="I44" s="1" t="s">
        <v>316</v>
      </c>
    </row>
    <row r="45" spans="1:9" x14ac:dyDescent="0.45">
      <c r="A45" s="1" t="s">
        <v>317</v>
      </c>
      <c r="B45" s="1" t="s">
        <v>318</v>
      </c>
      <c r="C45" s="1" t="s">
        <v>319</v>
      </c>
      <c r="D45" s="1" t="s">
        <v>320</v>
      </c>
      <c r="E45" s="1" t="s">
        <v>321</v>
      </c>
      <c r="F45" s="1" t="s">
        <v>5</v>
      </c>
      <c r="G45" s="1" t="s">
        <v>322</v>
      </c>
      <c r="H45" s="1" t="s">
        <v>7</v>
      </c>
      <c r="I45" s="1" t="s">
        <v>323</v>
      </c>
    </row>
    <row r="46" spans="1:9" x14ac:dyDescent="0.45">
      <c r="A46" s="1" t="s">
        <v>324</v>
      </c>
      <c r="B46" s="1" t="s">
        <v>325</v>
      </c>
      <c r="C46" s="1" t="s">
        <v>326</v>
      </c>
      <c r="D46" s="1" t="s">
        <v>327</v>
      </c>
      <c r="E46" s="1" t="s">
        <v>328</v>
      </c>
      <c r="F46" s="1" t="s">
        <v>329</v>
      </c>
      <c r="G46" s="1" t="s">
        <v>330</v>
      </c>
      <c r="H46" s="1" t="s">
        <v>231</v>
      </c>
      <c r="I46" s="1" t="s">
        <v>331</v>
      </c>
    </row>
    <row r="47" spans="1:9" x14ac:dyDescent="0.45">
      <c r="A47" s="1" t="s">
        <v>332</v>
      </c>
      <c r="B47" s="1" t="s">
        <v>333</v>
      </c>
      <c r="C47" s="1" t="s">
        <v>334</v>
      </c>
      <c r="D47" s="1" t="s">
        <v>335</v>
      </c>
      <c r="E47" s="1" t="s">
        <v>336</v>
      </c>
      <c r="F47" s="1" t="s">
        <v>337</v>
      </c>
      <c r="G47" s="1" t="s">
        <v>338</v>
      </c>
      <c r="H47" s="1" t="s">
        <v>240</v>
      </c>
      <c r="I47" s="1" t="s">
        <v>339</v>
      </c>
    </row>
    <row r="48" spans="1:9" x14ac:dyDescent="0.45">
      <c r="A48" s="1" t="s">
        <v>340</v>
      </c>
      <c r="B48" s="1" t="s">
        <v>341</v>
      </c>
      <c r="C48" s="1" t="s">
        <v>342</v>
      </c>
      <c r="D48" s="1" t="s">
        <v>343</v>
      </c>
      <c r="E48" s="1" t="s">
        <v>344</v>
      </c>
      <c r="F48" s="1" t="s">
        <v>345</v>
      </c>
      <c r="G48" s="1" t="s">
        <v>346</v>
      </c>
      <c r="H48" s="1" t="s">
        <v>240</v>
      </c>
      <c r="I48" s="1" t="s">
        <v>347</v>
      </c>
    </row>
    <row r="49" spans="1:9" x14ac:dyDescent="0.45">
      <c r="A49" s="1" t="s">
        <v>348</v>
      </c>
      <c r="B49" s="1" t="s">
        <v>349</v>
      </c>
      <c r="C49" s="1" t="s">
        <v>350</v>
      </c>
      <c r="D49" s="1" t="s">
        <v>351</v>
      </c>
      <c r="E49" s="1" t="s">
        <v>352</v>
      </c>
      <c r="F49" s="1" t="s">
        <v>229</v>
      </c>
      <c r="G49" s="1" t="s">
        <v>353</v>
      </c>
      <c r="H49" s="1" t="s">
        <v>231</v>
      </c>
      <c r="I49" s="1" t="s">
        <v>354</v>
      </c>
    </row>
    <row r="50" spans="1:9" x14ac:dyDescent="0.45">
      <c r="A50" s="1" t="s">
        <v>355</v>
      </c>
      <c r="B50" s="1" t="s">
        <v>356</v>
      </c>
      <c r="C50" s="1" t="s">
        <v>357</v>
      </c>
      <c r="D50" s="1" t="s">
        <v>358</v>
      </c>
      <c r="E50" s="1" t="s">
        <v>359</v>
      </c>
      <c r="F50" s="1" t="s">
        <v>5</v>
      </c>
      <c r="G50" s="1" t="s">
        <v>360</v>
      </c>
      <c r="H50" s="1" t="s">
        <v>193</v>
      </c>
      <c r="I50" s="1" t="s">
        <v>361</v>
      </c>
    </row>
    <row r="51" spans="1:9" x14ac:dyDescent="0.45">
      <c r="A51" s="1" t="s">
        <v>362</v>
      </c>
      <c r="B51" s="1" t="s">
        <v>363</v>
      </c>
      <c r="C51" s="1" t="s">
        <v>364</v>
      </c>
      <c r="D51" s="1" t="s">
        <v>365</v>
      </c>
      <c r="E51" s="1" t="s">
        <v>366</v>
      </c>
      <c r="F51" s="1" t="s">
        <v>5</v>
      </c>
      <c r="G51" s="1" t="s">
        <v>367</v>
      </c>
      <c r="H51" s="1" t="s">
        <v>368</v>
      </c>
      <c r="I51" s="1" t="s">
        <v>369</v>
      </c>
    </row>
    <row r="52" spans="1:9" x14ac:dyDescent="0.45">
      <c r="A52" s="1" t="s">
        <v>370</v>
      </c>
      <c r="B52" s="1" t="s">
        <v>371</v>
      </c>
      <c r="C52" s="1" t="s">
        <v>372</v>
      </c>
      <c r="D52" s="1" t="s">
        <v>373</v>
      </c>
      <c r="E52" s="1" t="s">
        <v>374</v>
      </c>
      <c r="F52" s="1" t="s">
        <v>375</v>
      </c>
      <c r="G52" s="1" t="s">
        <v>376</v>
      </c>
      <c r="H52" s="1" t="s">
        <v>76</v>
      </c>
      <c r="I52" s="1" t="s">
        <v>377</v>
      </c>
    </row>
    <row r="53" spans="1:9" x14ac:dyDescent="0.45">
      <c r="A53" s="1" t="s">
        <v>378</v>
      </c>
      <c r="B53" s="1" t="s">
        <v>379</v>
      </c>
      <c r="C53" s="1" t="s">
        <v>380</v>
      </c>
      <c r="D53" s="1" t="s">
        <v>381</v>
      </c>
      <c r="E53" s="1" t="s">
        <v>382</v>
      </c>
      <c r="F53" s="1" t="s">
        <v>5</v>
      </c>
      <c r="G53" s="1" t="s">
        <v>383</v>
      </c>
      <c r="H53" s="1" t="s">
        <v>7</v>
      </c>
      <c r="I53" s="1" t="s">
        <v>384</v>
      </c>
    </row>
    <row r="54" spans="1:9" x14ac:dyDescent="0.45">
      <c r="A54" s="1" t="s">
        <v>385</v>
      </c>
      <c r="B54" s="1" t="s">
        <v>386</v>
      </c>
      <c r="C54" s="1" t="s">
        <v>387</v>
      </c>
      <c r="D54" s="1" t="s">
        <v>388</v>
      </c>
      <c r="E54" s="1" t="s">
        <v>27</v>
      </c>
      <c r="F54" s="1" t="s">
        <v>5</v>
      </c>
      <c r="G54" s="1" t="s">
        <v>389</v>
      </c>
      <c r="H54" s="1" t="s">
        <v>29</v>
      </c>
      <c r="I54" s="1" t="s">
        <v>390</v>
      </c>
    </row>
    <row r="55" spans="1:9" x14ac:dyDescent="0.45">
      <c r="A55" s="1" t="s">
        <v>391</v>
      </c>
      <c r="B55" s="1" t="s">
        <v>392</v>
      </c>
      <c r="C55" s="1" t="s">
        <v>393</v>
      </c>
      <c r="D55" s="1" t="s">
        <v>394</v>
      </c>
      <c r="E55" s="1" t="s">
        <v>88</v>
      </c>
      <c r="F55" s="1" t="s">
        <v>5</v>
      </c>
      <c r="G55" s="1" t="s">
        <v>89</v>
      </c>
      <c r="H55" s="1" t="s">
        <v>90</v>
      </c>
      <c r="I55" s="1" t="s">
        <v>395</v>
      </c>
    </row>
    <row r="56" spans="1:9" x14ac:dyDescent="0.45">
      <c r="A56" s="1" t="s">
        <v>396</v>
      </c>
      <c r="B56" s="1" t="s">
        <v>397</v>
      </c>
      <c r="C56" s="1" t="s">
        <v>398</v>
      </c>
      <c r="D56" s="1" t="s">
        <v>399</v>
      </c>
      <c r="E56" s="1" t="s">
        <v>400</v>
      </c>
      <c r="F56" s="1" t="s">
        <v>401</v>
      </c>
      <c r="G56" s="1" t="s">
        <v>402</v>
      </c>
      <c r="H56" s="1" t="s">
        <v>231</v>
      </c>
      <c r="I56" s="1" t="s">
        <v>403</v>
      </c>
    </row>
    <row r="57" spans="1:9" x14ac:dyDescent="0.45">
      <c r="A57" s="1" t="s">
        <v>404</v>
      </c>
      <c r="B57" s="1" t="s">
        <v>405</v>
      </c>
      <c r="C57" s="1" t="s">
        <v>406</v>
      </c>
      <c r="D57" s="1" t="s">
        <v>407</v>
      </c>
      <c r="E57" s="1" t="s">
        <v>408</v>
      </c>
      <c r="F57" s="1" t="s">
        <v>5</v>
      </c>
      <c r="G57" s="1" t="s">
        <v>409</v>
      </c>
      <c r="H57" s="1" t="s">
        <v>7</v>
      </c>
      <c r="I57" s="1" t="s">
        <v>410</v>
      </c>
    </row>
    <row r="58" spans="1:9" x14ac:dyDescent="0.45">
      <c r="A58" s="1" t="s">
        <v>411</v>
      </c>
      <c r="B58" s="1" t="s">
        <v>412</v>
      </c>
      <c r="C58" s="1" t="s">
        <v>413</v>
      </c>
      <c r="D58" s="1" t="s">
        <v>414</v>
      </c>
      <c r="E58" s="1" t="s">
        <v>415</v>
      </c>
      <c r="F58" s="1" t="s">
        <v>5</v>
      </c>
      <c r="G58" s="1" t="s">
        <v>416</v>
      </c>
      <c r="H58" s="1" t="s">
        <v>52</v>
      </c>
      <c r="I58" s="1" t="s">
        <v>417</v>
      </c>
    </row>
    <row r="59" spans="1:9" x14ac:dyDescent="0.45">
      <c r="A59" s="1" t="s">
        <v>418</v>
      </c>
      <c r="B59" s="1" t="s">
        <v>419</v>
      </c>
      <c r="C59" s="1" t="s">
        <v>420</v>
      </c>
      <c r="D59" s="1" t="s">
        <v>421</v>
      </c>
      <c r="E59" s="1" t="s">
        <v>13</v>
      </c>
      <c r="F59" s="1" t="s">
        <v>5</v>
      </c>
      <c r="G59" s="1" t="s">
        <v>422</v>
      </c>
      <c r="H59" s="1" t="s">
        <v>15</v>
      </c>
      <c r="I59" s="1" t="s">
        <v>423</v>
      </c>
    </row>
    <row r="60" spans="1:9" x14ac:dyDescent="0.45">
      <c r="A60" s="1" t="s">
        <v>424</v>
      </c>
      <c r="B60" s="1" t="s">
        <v>425</v>
      </c>
      <c r="C60" s="1" t="s">
        <v>426</v>
      </c>
      <c r="D60" s="1" t="s">
        <v>427</v>
      </c>
      <c r="E60" s="1" t="s">
        <v>428</v>
      </c>
      <c r="F60" s="1" t="s">
        <v>5</v>
      </c>
      <c r="G60" s="1" t="s">
        <v>429</v>
      </c>
      <c r="H60" s="1" t="s">
        <v>147</v>
      </c>
      <c r="I60" s="1" t="s">
        <v>430</v>
      </c>
    </row>
    <row r="61" spans="1:9" x14ac:dyDescent="0.45">
      <c r="A61" s="1" t="s">
        <v>431</v>
      </c>
      <c r="B61" s="1" t="s">
        <v>432</v>
      </c>
      <c r="C61" s="1" t="s">
        <v>433</v>
      </c>
      <c r="D61" s="1" t="s">
        <v>434</v>
      </c>
      <c r="E61" s="1" t="s">
        <v>199</v>
      </c>
      <c r="F61" s="1" t="s">
        <v>5</v>
      </c>
      <c r="G61" s="1" t="s">
        <v>435</v>
      </c>
      <c r="H61" s="1" t="s">
        <v>201</v>
      </c>
      <c r="I61" s="1" t="s">
        <v>436</v>
      </c>
    </row>
    <row r="62" spans="1:9" x14ac:dyDescent="0.45">
      <c r="A62" s="1" t="s">
        <v>437</v>
      </c>
      <c r="B62" s="1" t="s">
        <v>438</v>
      </c>
      <c r="C62" s="1" t="s">
        <v>439</v>
      </c>
      <c r="D62" s="1" t="s">
        <v>440</v>
      </c>
      <c r="E62" s="1" t="s">
        <v>246</v>
      </c>
      <c r="F62" s="1" t="s">
        <v>247</v>
      </c>
      <c r="G62" s="1" t="s">
        <v>441</v>
      </c>
      <c r="H62" s="1" t="s">
        <v>113</v>
      </c>
      <c r="I62" s="1" t="s">
        <v>442</v>
      </c>
    </row>
    <row r="63" spans="1:9" x14ac:dyDescent="0.45">
      <c r="A63" s="1" t="s">
        <v>443</v>
      </c>
      <c r="B63" s="1" t="s">
        <v>444</v>
      </c>
      <c r="C63" s="1" t="s">
        <v>445</v>
      </c>
      <c r="D63" s="1" t="s">
        <v>446</v>
      </c>
      <c r="E63" s="1" t="s">
        <v>110</v>
      </c>
      <c r="F63" s="1" t="s">
        <v>111</v>
      </c>
      <c r="G63" s="1" t="s">
        <v>447</v>
      </c>
      <c r="H63" s="1" t="s">
        <v>113</v>
      </c>
      <c r="I63" s="1" t="s">
        <v>448</v>
      </c>
    </row>
    <row r="64" spans="1:9" x14ac:dyDescent="0.45">
      <c r="A64" s="1" t="s">
        <v>449</v>
      </c>
      <c r="B64" s="1" t="s">
        <v>450</v>
      </c>
      <c r="C64" s="1" t="s">
        <v>451</v>
      </c>
      <c r="D64" s="1" t="s">
        <v>452</v>
      </c>
      <c r="E64" s="1" t="s">
        <v>453</v>
      </c>
      <c r="F64" s="1" t="s">
        <v>5</v>
      </c>
      <c r="G64" s="1" t="s">
        <v>454</v>
      </c>
      <c r="H64" s="1" t="s">
        <v>7</v>
      </c>
      <c r="I64" s="1" t="s">
        <v>455</v>
      </c>
    </row>
    <row r="65" spans="1:9" x14ac:dyDescent="0.45">
      <c r="A65" s="1" t="s">
        <v>456</v>
      </c>
      <c r="B65" s="1" t="s">
        <v>457</v>
      </c>
      <c r="C65" s="1" t="s">
        <v>458</v>
      </c>
      <c r="D65" s="1" t="s">
        <v>459</v>
      </c>
      <c r="E65" s="1" t="s">
        <v>88</v>
      </c>
      <c r="F65" s="1" t="s">
        <v>5</v>
      </c>
      <c r="G65" s="1" t="s">
        <v>89</v>
      </c>
      <c r="H65" s="1" t="s">
        <v>90</v>
      </c>
      <c r="I65" s="1" t="s">
        <v>460</v>
      </c>
    </row>
    <row r="66" spans="1:9" x14ac:dyDescent="0.45">
      <c r="A66" s="1" t="s">
        <v>461</v>
      </c>
      <c r="B66" s="1" t="s">
        <v>462</v>
      </c>
      <c r="C66" s="1" t="s">
        <v>463</v>
      </c>
      <c r="D66" s="1" t="s">
        <v>464</v>
      </c>
      <c r="E66" s="1" t="s">
        <v>465</v>
      </c>
      <c r="F66" s="1" t="s">
        <v>466</v>
      </c>
      <c r="G66" s="1" t="s">
        <v>467</v>
      </c>
      <c r="H66" s="1" t="s">
        <v>231</v>
      </c>
      <c r="I66" s="1" t="s">
        <v>468</v>
      </c>
    </row>
    <row r="67" spans="1:9" x14ac:dyDescent="0.45">
      <c r="A67" s="1" t="s">
        <v>469</v>
      </c>
      <c r="B67" s="1" t="s">
        <v>470</v>
      </c>
      <c r="C67" s="1" t="s">
        <v>471</v>
      </c>
      <c r="D67" s="1" t="s">
        <v>472</v>
      </c>
      <c r="E67" s="1" t="s">
        <v>473</v>
      </c>
      <c r="F67" s="1" t="s">
        <v>5</v>
      </c>
      <c r="G67" s="1" t="s">
        <v>474</v>
      </c>
      <c r="H67" s="1" t="s">
        <v>193</v>
      </c>
      <c r="I67" s="1" t="s">
        <v>475</v>
      </c>
    </row>
    <row r="68" spans="1:9" x14ac:dyDescent="0.45">
      <c r="A68" s="1" t="s">
        <v>476</v>
      </c>
      <c r="B68" s="1" t="s">
        <v>477</v>
      </c>
      <c r="C68" s="1" t="s">
        <v>478</v>
      </c>
      <c r="D68" s="1" t="s">
        <v>479</v>
      </c>
      <c r="E68" s="1" t="s">
        <v>246</v>
      </c>
      <c r="F68" s="1" t="s">
        <v>247</v>
      </c>
      <c r="G68" s="1" t="s">
        <v>480</v>
      </c>
      <c r="H68" s="1" t="s">
        <v>113</v>
      </c>
      <c r="I68" s="1" t="s">
        <v>481</v>
      </c>
    </row>
    <row r="69" spans="1:9" x14ac:dyDescent="0.45">
      <c r="A69" s="1" t="s">
        <v>482</v>
      </c>
      <c r="B69" s="1" t="s">
        <v>483</v>
      </c>
      <c r="C69" s="1" t="s">
        <v>484</v>
      </c>
      <c r="D69" s="1" t="s">
        <v>485</v>
      </c>
      <c r="E69" s="1" t="s">
        <v>486</v>
      </c>
      <c r="F69" s="1" t="s">
        <v>5</v>
      </c>
      <c r="G69" s="1" t="s">
        <v>487</v>
      </c>
      <c r="H69" s="1" t="s">
        <v>104</v>
      </c>
      <c r="I69" s="1" t="s">
        <v>488</v>
      </c>
    </row>
    <row r="70" spans="1:9" x14ac:dyDescent="0.45">
      <c r="A70" s="1" t="s">
        <v>489</v>
      </c>
      <c r="B70" s="1" t="s">
        <v>490</v>
      </c>
      <c r="C70" s="1" t="s">
        <v>491</v>
      </c>
      <c r="D70" s="1" t="s">
        <v>492</v>
      </c>
      <c r="E70" s="1" t="s">
        <v>58</v>
      </c>
      <c r="F70" s="1" t="s">
        <v>5</v>
      </c>
      <c r="G70" s="1" t="s">
        <v>493</v>
      </c>
      <c r="H70" s="1" t="s">
        <v>60</v>
      </c>
      <c r="I70" s="1" t="s">
        <v>494</v>
      </c>
    </row>
    <row r="71" spans="1:9" x14ac:dyDescent="0.45">
      <c r="A71" s="1" t="s">
        <v>495</v>
      </c>
      <c r="B71" s="1" t="s">
        <v>496</v>
      </c>
      <c r="C71" s="1" t="s">
        <v>497</v>
      </c>
      <c r="D71" s="1" t="s">
        <v>498</v>
      </c>
      <c r="E71" s="1" t="s">
        <v>499</v>
      </c>
      <c r="F71" s="1" t="s">
        <v>5</v>
      </c>
      <c r="G71" s="1" t="s">
        <v>500</v>
      </c>
      <c r="H71" s="1" t="s">
        <v>501</v>
      </c>
      <c r="I71" s="1" t="s">
        <v>502</v>
      </c>
    </row>
    <row r="72" spans="1:9" x14ac:dyDescent="0.45">
      <c r="A72" s="1" t="s">
        <v>503</v>
      </c>
      <c r="B72" s="1" t="s">
        <v>504</v>
      </c>
      <c r="C72" s="1" t="s">
        <v>505</v>
      </c>
      <c r="D72" s="1" t="s">
        <v>506</v>
      </c>
      <c r="E72" s="1" t="s">
        <v>507</v>
      </c>
      <c r="F72" s="1" t="s">
        <v>508</v>
      </c>
      <c r="G72" s="1" t="s">
        <v>509</v>
      </c>
      <c r="H72" s="1" t="s">
        <v>231</v>
      </c>
      <c r="I72" s="1" t="s">
        <v>510</v>
      </c>
    </row>
    <row r="73" spans="1:9" x14ac:dyDescent="0.45">
      <c r="A73" s="1" t="s">
        <v>511</v>
      </c>
      <c r="B73" s="1" t="s">
        <v>512</v>
      </c>
      <c r="C73" s="1" t="s">
        <v>513</v>
      </c>
      <c r="D73" s="1" t="s">
        <v>514</v>
      </c>
      <c r="E73" s="1" t="s">
        <v>27</v>
      </c>
      <c r="F73" s="1" t="s">
        <v>5</v>
      </c>
      <c r="G73" s="1" t="s">
        <v>515</v>
      </c>
      <c r="H73" s="1" t="s">
        <v>29</v>
      </c>
      <c r="I73" s="1" t="s">
        <v>516</v>
      </c>
    </row>
    <row r="74" spans="1:9" x14ac:dyDescent="0.45">
      <c r="A74" s="1" t="s">
        <v>517</v>
      </c>
      <c r="B74" s="1" t="s">
        <v>518</v>
      </c>
      <c r="C74" s="1" t="s">
        <v>519</v>
      </c>
      <c r="D74" s="1" t="s">
        <v>520</v>
      </c>
      <c r="E74" s="1" t="s">
        <v>521</v>
      </c>
      <c r="F74" s="1" t="s">
        <v>5</v>
      </c>
      <c r="G74" s="1" t="s">
        <v>522</v>
      </c>
      <c r="H74" s="1" t="s">
        <v>523</v>
      </c>
      <c r="I74" s="1" t="s">
        <v>524</v>
      </c>
    </row>
    <row r="75" spans="1:9" x14ac:dyDescent="0.45">
      <c r="A75" s="1" t="s">
        <v>525</v>
      </c>
      <c r="B75" s="1" t="s">
        <v>526</v>
      </c>
      <c r="C75" s="1" t="s">
        <v>527</v>
      </c>
      <c r="D75" s="1" t="s">
        <v>528</v>
      </c>
      <c r="E75" s="1" t="s">
        <v>415</v>
      </c>
      <c r="F75" s="1" t="s">
        <v>5</v>
      </c>
      <c r="G75" s="1" t="s">
        <v>529</v>
      </c>
      <c r="H75" s="1" t="s">
        <v>52</v>
      </c>
      <c r="I75" s="1" t="s">
        <v>530</v>
      </c>
    </row>
    <row r="76" spans="1:9" x14ac:dyDescent="0.45">
      <c r="A76" s="1" t="s">
        <v>531</v>
      </c>
      <c r="B76" s="1" t="s">
        <v>532</v>
      </c>
      <c r="C76" s="1" t="s">
        <v>533</v>
      </c>
      <c r="D76" s="1" t="s">
        <v>534</v>
      </c>
      <c r="E76" s="1" t="s">
        <v>535</v>
      </c>
      <c r="F76" s="1" t="s">
        <v>536</v>
      </c>
      <c r="G76" s="1" t="s">
        <v>537</v>
      </c>
      <c r="H76" s="1" t="s">
        <v>231</v>
      </c>
      <c r="I76" s="1" t="s">
        <v>538</v>
      </c>
    </row>
    <row r="77" spans="1:9" x14ac:dyDescent="0.45">
      <c r="A77" s="1" t="s">
        <v>539</v>
      </c>
      <c r="B77" s="1" t="s">
        <v>540</v>
      </c>
      <c r="C77" s="1" t="s">
        <v>541</v>
      </c>
      <c r="D77" s="1" t="s">
        <v>542</v>
      </c>
      <c r="E77" s="1" t="s">
        <v>543</v>
      </c>
      <c r="F77" s="1" t="s">
        <v>5</v>
      </c>
      <c r="G77" s="1" t="s">
        <v>544</v>
      </c>
      <c r="H77" s="1" t="s">
        <v>368</v>
      </c>
      <c r="I77" s="1" t="s">
        <v>545</v>
      </c>
    </row>
    <row r="78" spans="1:9" ht="28.5" x14ac:dyDescent="0.45">
      <c r="A78" s="1" t="s">
        <v>546</v>
      </c>
      <c r="B78" s="1" t="s">
        <v>547</v>
      </c>
      <c r="C78" s="1" t="s">
        <v>548</v>
      </c>
      <c r="D78" s="1" t="s">
        <v>549</v>
      </c>
      <c r="E78" s="1" t="s">
        <v>352</v>
      </c>
      <c r="F78" s="1" t="s">
        <v>229</v>
      </c>
      <c r="G78" s="1" t="s">
        <v>550</v>
      </c>
      <c r="H78" s="1" t="s">
        <v>231</v>
      </c>
      <c r="I78" s="1" t="s">
        <v>551</v>
      </c>
    </row>
    <row r="79" spans="1:9" x14ac:dyDescent="0.45">
      <c r="A79" s="1" t="s">
        <v>552</v>
      </c>
      <c r="B79" s="1" t="s">
        <v>553</v>
      </c>
      <c r="C79" s="1" t="s">
        <v>554</v>
      </c>
      <c r="D79" s="1" t="s">
        <v>555</v>
      </c>
      <c r="E79" s="1" t="s">
        <v>556</v>
      </c>
      <c r="F79" s="1" t="s">
        <v>557</v>
      </c>
      <c r="G79" s="1" t="s">
        <v>558</v>
      </c>
      <c r="H79" s="1" t="s">
        <v>231</v>
      </c>
      <c r="I79" s="1" t="s">
        <v>559</v>
      </c>
    </row>
    <row r="80" spans="1:9" x14ac:dyDescent="0.45">
      <c r="A80" s="1" t="s">
        <v>560</v>
      </c>
      <c r="B80" s="1" t="s">
        <v>561</v>
      </c>
      <c r="C80" s="1" t="s">
        <v>562</v>
      </c>
      <c r="D80" s="1" t="s">
        <v>563</v>
      </c>
      <c r="E80" s="1" t="s">
        <v>564</v>
      </c>
      <c r="F80" s="1" t="s">
        <v>5</v>
      </c>
      <c r="G80" s="1" t="s">
        <v>565</v>
      </c>
      <c r="H80" s="1" t="s">
        <v>7</v>
      </c>
      <c r="I80" s="1" t="s">
        <v>566</v>
      </c>
    </row>
    <row r="81" spans="1:9" x14ac:dyDescent="0.45">
      <c r="A81" s="1" t="s">
        <v>567</v>
      </c>
      <c r="B81" s="1" t="s">
        <v>568</v>
      </c>
      <c r="C81" s="1" t="s">
        <v>569</v>
      </c>
      <c r="D81" s="1" t="s">
        <v>570</v>
      </c>
      <c r="E81" s="1" t="s">
        <v>13</v>
      </c>
      <c r="F81" s="1" t="s">
        <v>5</v>
      </c>
      <c r="G81" s="1" t="s">
        <v>422</v>
      </c>
      <c r="H81" s="1" t="s">
        <v>15</v>
      </c>
      <c r="I81" s="1" t="s">
        <v>571</v>
      </c>
    </row>
    <row r="82" spans="1:9" x14ac:dyDescent="0.45">
      <c r="A82" s="1" t="s">
        <v>572</v>
      </c>
      <c r="B82" s="1" t="s">
        <v>573</v>
      </c>
      <c r="C82" s="1" t="s">
        <v>574</v>
      </c>
      <c r="D82" s="1" t="s">
        <v>575</v>
      </c>
      <c r="E82" s="1" t="s">
        <v>110</v>
      </c>
      <c r="F82" s="1" t="s">
        <v>111</v>
      </c>
      <c r="G82" s="1" t="s">
        <v>576</v>
      </c>
      <c r="H82" s="1" t="s">
        <v>113</v>
      </c>
      <c r="I82" s="1" t="s">
        <v>577</v>
      </c>
    </row>
    <row r="83" spans="1:9" x14ac:dyDescent="0.45">
      <c r="A83" s="1" t="s">
        <v>578</v>
      </c>
      <c r="B83" s="1" t="s">
        <v>579</v>
      </c>
      <c r="C83" s="1" t="s">
        <v>580</v>
      </c>
      <c r="D83" s="1" t="s">
        <v>581</v>
      </c>
      <c r="E83" s="1" t="s">
        <v>582</v>
      </c>
      <c r="F83" s="1" t="s">
        <v>314</v>
      </c>
      <c r="G83" s="1" t="s">
        <v>583</v>
      </c>
      <c r="H83" s="1" t="s">
        <v>231</v>
      </c>
      <c r="I83" s="1" t="s">
        <v>584</v>
      </c>
    </row>
    <row r="84" spans="1:9" x14ac:dyDescent="0.45">
      <c r="A84" s="1" t="s">
        <v>585</v>
      </c>
      <c r="B84" s="1" t="s">
        <v>586</v>
      </c>
      <c r="C84" s="1" t="s">
        <v>587</v>
      </c>
      <c r="D84" s="1" t="s">
        <v>588</v>
      </c>
      <c r="E84" s="1" t="s">
        <v>589</v>
      </c>
      <c r="F84" s="1" t="s">
        <v>5</v>
      </c>
      <c r="G84" s="1" t="s">
        <v>590</v>
      </c>
      <c r="H84" s="1" t="s">
        <v>523</v>
      </c>
      <c r="I84" s="1" t="s">
        <v>591</v>
      </c>
    </row>
    <row r="85" spans="1:9" x14ac:dyDescent="0.45">
      <c r="A85" s="1" t="s">
        <v>592</v>
      </c>
      <c r="B85" s="1" t="s">
        <v>593</v>
      </c>
      <c r="C85" s="1" t="s">
        <v>594</v>
      </c>
      <c r="D85" s="1" t="s">
        <v>595</v>
      </c>
      <c r="E85" s="1" t="s">
        <v>596</v>
      </c>
      <c r="F85" s="1" t="s">
        <v>5</v>
      </c>
      <c r="G85" s="1" t="s">
        <v>597</v>
      </c>
      <c r="H85" s="1" t="s">
        <v>52</v>
      </c>
      <c r="I85" s="1" t="s">
        <v>598</v>
      </c>
    </row>
    <row r="86" spans="1:9" x14ac:dyDescent="0.45">
      <c r="A86" s="1" t="s">
        <v>599</v>
      </c>
      <c r="B86" s="1" t="s">
        <v>600</v>
      </c>
      <c r="C86" s="1" t="s">
        <v>601</v>
      </c>
      <c r="D86" s="1" t="s">
        <v>602</v>
      </c>
      <c r="E86" s="1" t="s">
        <v>603</v>
      </c>
      <c r="F86" s="1" t="s">
        <v>5</v>
      </c>
      <c r="G86" s="1" t="s">
        <v>604</v>
      </c>
      <c r="H86" s="1" t="s">
        <v>52</v>
      </c>
      <c r="I86" s="1" t="s">
        <v>605</v>
      </c>
    </row>
    <row r="87" spans="1:9" x14ac:dyDescent="0.45">
      <c r="A87" s="1" t="s">
        <v>606</v>
      </c>
      <c r="B87" s="1" t="s">
        <v>607</v>
      </c>
      <c r="C87" s="1" t="s">
        <v>608</v>
      </c>
      <c r="D87" s="1" t="s">
        <v>609</v>
      </c>
      <c r="E87" s="1" t="s">
        <v>610</v>
      </c>
      <c r="F87" s="1" t="s">
        <v>5</v>
      </c>
      <c r="G87" s="1" t="s">
        <v>611</v>
      </c>
      <c r="H87" s="1" t="s">
        <v>7</v>
      </c>
      <c r="I87" s="1" t="s">
        <v>612</v>
      </c>
    </row>
    <row r="88" spans="1:9" x14ac:dyDescent="0.45">
      <c r="A88" s="1" t="s">
        <v>613</v>
      </c>
      <c r="B88" s="1" t="s">
        <v>614</v>
      </c>
      <c r="C88" s="1" t="s">
        <v>615</v>
      </c>
      <c r="D88" s="1" t="s">
        <v>616</v>
      </c>
      <c r="E88" s="1" t="s">
        <v>617</v>
      </c>
      <c r="F88" s="1" t="s">
        <v>5</v>
      </c>
      <c r="G88" s="1" t="s">
        <v>618</v>
      </c>
      <c r="H88" s="1" t="s">
        <v>619</v>
      </c>
      <c r="I88" s="1" t="s">
        <v>620</v>
      </c>
    </row>
    <row r="89" spans="1:9" x14ac:dyDescent="0.45">
      <c r="A89" s="1" t="s">
        <v>621</v>
      </c>
      <c r="B89" s="1" t="s">
        <v>622</v>
      </c>
      <c r="C89" s="1" t="s">
        <v>623</v>
      </c>
      <c r="D89" s="1" t="s">
        <v>624</v>
      </c>
      <c r="E89" s="1" t="s">
        <v>625</v>
      </c>
      <c r="F89" s="1" t="s">
        <v>111</v>
      </c>
      <c r="G89" s="1" t="s">
        <v>626</v>
      </c>
      <c r="H89" s="1" t="s">
        <v>113</v>
      </c>
      <c r="I89" s="1" t="s">
        <v>627</v>
      </c>
    </row>
    <row r="90" spans="1:9" x14ac:dyDescent="0.45">
      <c r="A90" s="1" t="s">
        <v>628</v>
      </c>
      <c r="B90" s="1" t="s">
        <v>629</v>
      </c>
      <c r="C90" s="1" t="s">
        <v>630</v>
      </c>
      <c r="D90" s="1" t="s">
        <v>631</v>
      </c>
      <c r="E90" s="1" t="s">
        <v>632</v>
      </c>
      <c r="F90" s="1" t="s">
        <v>314</v>
      </c>
      <c r="G90" s="1" t="s">
        <v>633</v>
      </c>
      <c r="H90" s="1" t="s">
        <v>231</v>
      </c>
      <c r="I90" s="1" t="s">
        <v>634</v>
      </c>
    </row>
    <row r="91" spans="1:9" x14ac:dyDescent="0.45">
      <c r="A91" s="1" t="s">
        <v>635</v>
      </c>
      <c r="B91" s="1" t="s">
        <v>636</v>
      </c>
      <c r="C91" s="1" t="s">
        <v>637</v>
      </c>
      <c r="D91" s="1" t="s">
        <v>638</v>
      </c>
      <c r="E91" s="1" t="s">
        <v>639</v>
      </c>
      <c r="F91" s="1" t="s">
        <v>5</v>
      </c>
      <c r="G91" s="1" t="s">
        <v>640</v>
      </c>
      <c r="H91" s="1" t="s">
        <v>619</v>
      </c>
      <c r="I91" s="1" t="s">
        <v>641</v>
      </c>
    </row>
    <row r="92" spans="1:9" x14ac:dyDescent="0.45">
      <c r="A92" s="2" t="s">
        <v>642</v>
      </c>
      <c r="B92" s="2" t="s">
        <v>643</v>
      </c>
      <c r="C92" s="2" t="s">
        <v>644</v>
      </c>
      <c r="D92" s="2" t="s">
        <v>645</v>
      </c>
      <c r="E92" s="2" t="s">
        <v>646</v>
      </c>
      <c r="F92" s="2" t="s">
        <v>5</v>
      </c>
      <c r="G92" s="2" t="s">
        <v>647</v>
      </c>
      <c r="H92" s="2" t="s">
        <v>648</v>
      </c>
      <c r="I92" s="2" t="s">
        <v>649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FC810-1FF8-4B56-A920-8730FD8FC686}">
  <sheetPr codeName="Sheet7"/>
  <dimension ref="B1:I30"/>
  <sheetViews>
    <sheetView topLeftCell="A2" workbookViewId="0">
      <selection activeCell="H11" sqref="H11"/>
    </sheetView>
  </sheetViews>
  <sheetFormatPr defaultRowHeight="14.25" x14ac:dyDescent="0.45"/>
  <cols>
    <col min="1" max="1" width="5" customWidth="1"/>
    <col min="2" max="2" width="17.1328125" customWidth="1"/>
    <col min="3" max="3" width="14.1328125" bestFit="1" customWidth="1"/>
    <col min="4" max="4" width="10.59765625" customWidth="1"/>
    <col min="5" max="6" width="13.59765625" bestFit="1" customWidth="1"/>
    <col min="7" max="7" width="14.9296875" customWidth="1"/>
    <col min="8" max="8" width="14.59765625" bestFit="1" customWidth="1"/>
  </cols>
  <sheetData>
    <row r="1" spans="2:9" ht="23.25" x14ac:dyDescent="0.7">
      <c r="B1" s="27" t="s">
        <v>684</v>
      </c>
      <c r="C1" s="27"/>
      <c r="D1" s="27"/>
      <c r="E1" s="27"/>
      <c r="F1" s="27"/>
      <c r="G1" s="27"/>
      <c r="H1" s="27"/>
      <c r="I1" s="27"/>
    </row>
    <row r="10" spans="2:9" x14ac:dyDescent="0.45">
      <c r="B10" t="s">
        <v>687</v>
      </c>
      <c r="C10" t="s">
        <v>688</v>
      </c>
      <c r="D10" t="s">
        <v>686</v>
      </c>
      <c r="E10" t="s">
        <v>685</v>
      </c>
      <c r="F10" t="s">
        <v>699</v>
      </c>
      <c r="G10" t="s">
        <v>689</v>
      </c>
      <c r="H10" t="s">
        <v>844</v>
      </c>
    </row>
    <row r="11" spans="2:9" x14ac:dyDescent="0.45">
      <c r="B11" t="s">
        <v>690</v>
      </c>
      <c r="C11" t="str">
        <f>LEFT(B11,2)</f>
        <v>EX</v>
      </c>
      <c r="D11" t="str">
        <f>MID(B11,4,2)</f>
        <v>SF</v>
      </c>
      <c r="E11" t="str">
        <f>MID(B11,7,4)</f>
        <v>2019</v>
      </c>
      <c r="F11" t="str">
        <f>RIGHT(Table3[[#This Row],[TRAINING CODE]],2)</f>
        <v>01</v>
      </c>
      <c r="G11" t="str">
        <f>VLOOKUP(RIGHT(B11,2),$B$26:$C$30,2,FALSE)</f>
        <v>BEGINNER</v>
      </c>
      <c r="H11" t="str">
        <f>VLOOKUP(LEFT(B11,2),Table46[#All],2,FALSE)</f>
        <v>EXCEL</v>
      </c>
    </row>
    <row r="12" spans="2:9" x14ac:dyDescent="0.45">
      <c r="B12" t="s">
        <v>712</v>
      </c>
      <c r="C12" t="str">
        <f>LEFT(B12,2)</f>
        <v>WD</v>
      </c>
      <c r="D12" t="str">
        <f t="shared" ref="D12:D17" si="0">MID(B12,4,2)</f>
        <v>SL</v>
      </c>
      <c r="E12" t="str">
        <f t="shared" ref="E12:E17" si="1">MID(B12,7,4)</f>
        <v>2019</v>
      </c>
      <c r="F12" t="str">
        <f>RIGHT(Table3[[#This Row],[TRAINING CODE]],2)</f>
        <v>01</v>
      </c>
      <c r="G12" t="str">
        <f t="shared" ref="G12:G17" si="2">VLOOKUP(RIGHT(B12,2),$B$26:$C$30,2,FALSE)</f>
        <v>BEGINNER</v>
      </c>
      <c r="H12" t="str">
        <f>VLOOKUP(LEFT(B12,2),Table46[#All],2,FALSE)</f>
        <v>WORD</v>
      </c>
    </row>
    <row r="13" spans="2:9" x14ac:dyDescent="0.45">
      <c r="B13" t="s">
        <v>711</v>
      </c>
      <c r="C13" t="str">
        <f t="shared" ref="C13:C17" si="3">LEFT(B13,2)</f>
        <v>EX</v>
      </c>
      <c r="D13" t="str">
        <f t="shared" si="0"/>
        <v>SL</v>
      </c>
      <c r="E13" t="str">
        <f t="shared" si="1"/>
        <v>2020</v>
      </c>
      <c r="F13" t="str">
        <f>RIGHT(Table3[[#This Row],[TRAINING CODE]],2)</f>
        <v>02</v>
      </c>
      <c r="G13" t="str">
        <f t="shared" si="2"/>
        <v>INTERMEDIATE</v>
      </c>
      <c r="H13" t="str">
        <f>VLOOKUP(LEFT(B13,2),Table46[#All],2,FALSE)</f>
        <v>EXCEL</v>
      </c>
    </row>
    <row r="14" spans="2:9" x14ac:dyDescent="0.45">
      <c r="B14" t="s">
        <v>713</v>
      </c>
      <c r="C14" t="str">
        <f t="shared" si="3"/>
        <v>AC</v>
      </c>
      <c r="D14" t="str">
        <f t="shared" si="0"/>
        <v>LA</v>
      </c>
      <c r="E14" t="str">
        <f t="shared" si="1"/>
        <v>2020</v>
      </c>
      <c r="F14" t="str">
        <f>RIGHT(Table3[[#This Row],[TRAINING CODE]],2)</f>
        <v>01</v>
      </c>
      <c r="G14" t="str">
        <f t="shared" si="2"/>
        <v>BEGINNER</v>
      </c>
      <c r="H14" t="str">
        <f>VLOOKUP(LEFT(B14,2),Table46[#All],2,FALSE)</f>
        <v>ACCESS</v>
      </c>
    </row>
    <row r="15" spans="2:9" x14ac:dyDescent="0.45">
      <c r="B15" t="s">
        <v>714</v>
      </c>
      <c r="C15" t="str">
        <f t="shared" si="3"/>
        <v>EX</v>
      </c>
      <c r="D15" t="str">
        <f t="shared" si="0"/>
        <v>SL</v>
      </c>
      <c r="E15" t="str">
        <f t="shared" si="1"/>
        <v>2020</v>
      </c>
      <c r="F15" t="str">
        <f>RIGHT(Table3[[#This Row],[TRAINING CODE]],2)</f>
        <v>03</v>
      </c>
      <c r="G15" t="str">
        <f t="shared" si="2"/>
        <v>ADVANCED</v>
      </c>
      <c r="H15" t="str">
        <f>VLOOKUP(LEFT(B15,2),Table46[#All],2,FALSE)</f>
        <v>EXCEL</v>
      </c>
    </row>
    <row r="16" spans="2:9" x14ac:dyDescent="0.45">
      <c r="B16" t="s">
        <v>715</v>
      </c>
      <c r="C16" t="str">
        <f t="shared" si="3"/>
        <v>OU</v>
      </c>
      <c r="D16" t="str">
        <f t="shared" si="0"/>
        <v>SF</v>
      </c>
      <c r="E16" t="str">
        <f t="shared" si="1"/>
        <v>2019</v>
      </c>
      <c r="F16" t="str">
        <f>RIGHT(Table3[[#This Row],[TRAINING CODE]],2)</f>
        <v>01</v>
      </c>
      <c r="G16" t="str">
        <f t="shared" si="2"/>
        <v>BEGINNER</v>
      </c>
      <c r="H16" t="str">
        <f>VLOOKUP(LEFT(B16,2),Table46[#All],2,FALSE)</f>
        <v>OUTLOOK</v>
      </c>
    </row>
    <row r="17" spans="2:8" x14ac:dyDescent="0.45">
      <c r="B17" t="s">
        <v>716</v>
      </c>
      <c r="C17" t="str">
        <f t="shared" si="3"/>
        <v>PP</v>
      </c>
      <c r="D17" t="str">
        <f t="shared" si="0"/>
        <v>SL</v>
      </c>
      <c r="E17" t="str">
        <f t="shared" si="1"/>
        <v>2019</v>
      </c>
      <c r="F17" t="str">
        <f>RIGHT(Table3[[#This Row],[TRAINING CODE]],2)</f>
        <v>02</v>
      </c>
      <c r="G17" t="str">
        <f t="shared" si="2"/>
        <v>INTERMEDIATE</v>
      </c>
      <c r="H17" t="str">
        <f>VLOOKUP(LEFT(B17,2),Table46[#All],2,FALSE)</f>
        <v>POWERPOINT</v>
      </c>
    </row>
    <row r="25" spans="2:8" x14ac:dyDescent="0.45">
      <c r="B25" t="s">
        <v>699</v>
      </c>
      <c r="C25" t="s">
        <v>689</v>
      </c>
      <c r="E25" t="s">
        <v>700</v>
      </c>
      <c r="F25" t="s">
        <v>688</v>
      </c>
    </row>
    <row r="26" spans="2:8" x14ac:dyDescent="0.45">
      <c r="B26" s="9" t="s">
        <v>691</v>
      </c>
      <c r="C26" t="s">
        <v>694</v>
      </c>
      <c r="E26" s="9" t="s">
        <v>704</v>
      </c>
      <c r="F26" t="s">
        <v>708</v>
      </c>
    </row>
    <row r="27" spans="2:8" x14ac:dyDescent="0.45">
      <c r="B27" s="9" t="s">
        <v>692</v>
      </c>
      <c r="C27" t="s">
        <v>695</v>
      </c>
      <c r="E27" s="9" t="s">
        <v>701</v>
      </c>
      <c r="F27" t="s">
        <v>705</v>
      </c>
    </row>
    <row r="28" spans="2:8" x14ac:dyDescent="0.45">
      <c r="B28" s="9" t="s">
        <v>693</v>
      </c>
      <c r="C28" t="s">
        <v>696</v>
      </c>
      <c r="E28" s="3" t="s">
        <v>709</v>
      </c>
      <c r="F28" t="s">
        <v>710</v>
      </c>
    </row>
    <row r="29" spans="2:8" x14ac:dyDescent="0.45">
      <c r="B29" s="9" t="s">
        <v>698</v>
      </c>
      <c r="C29" t="s">
        <v>697</v>
      </c>
      <c r="E29" s="9" t="s">
        <v>703</v>
      </c>
      <c r="F29" t="s">
        <v>707</v>
      </c>
    </row>
    <row r="30" spans="2:8" x14ac:dyDescent="0.45">
      <c r="E30" s="9" t="s">
        <v>702</v>
      </c>
      <c r="F30" t="s">
        <v>706</v>
      </c>
    </row>
  </sheetData>
  <mergeCells count="1">
    <mergeCell ref="B1:I1"/>
  </mergeCells>
  <phoneticPr fontId="10" type="noConversion"/>
  <pageMargins left="0.7" right="0.7" top="0.75" bottom="0.75" header="0.3" footer="0.3"/>
  <ignoredErrors>
    <ignoredError sqref="B26:B29" numberStoredAsText="1"/>
  </ignoredErrors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3DB1-6205-46E3-8FFF-BF3768A835FC}">
  <sheetPr codeName="Sheet8"/>
  <dimension ref="B1:J127"/>
  <sheetViews>
    <sheetView workbookViewId="0">
      <selection activeCell="H9" sqref="H9"/>
    </sheetView>
  </sheetViews>
  <sheetFormatPr defaultRowHeight="14.25" x14ac:dyDescent="0.45"/>
  <cols>
    <col min="1" max="1" width="5.59765625" customWidth="1"/>
    <col min="2" max="2" width="41.1328125" bestFit="1" customWidth="1"/>
    <col min="3" max="3" width="16.265625" bestFit="1" customWidth="1"/>
    <col min="5" max="5" width="9.86328125" customWidth="1"/>
    <col min="7" max="7" width="10.86328125" customWidth="1"/>
    <col min="9" max="9" width="16.9296875" bestFit="1" customWidth="1"/>
    <col min="10" max="10" width="14.1328125" bestFit="1" customWidth="1"/>
  </cols>
  <sheetData>
    <row r="1" spans="2:10" ht="23.25" x14ac:dyDescent="0.7">
      <c r="B1" s="27" t="s">
        <v>717</v>
      </c>
      <c r="C1" s="27"/>
      <c r="D1" s="27"/>
      <c r="E1" s="27"/>
      <c r="F1" s="27"/>
      <c r="G1" s="27"/>
    </row>
    <row r="7" spans="2:10" x14ac:dyDescent="0.45">
      <c r="B7" t="s">
        <v>733</v>
      </c>
      <c r="C7" t="s">
        <v>734</v>
      </c>
      <c r="D7" t="s">
        <v>685</v>
      </c>
      <c r="E7" t="s">
        <v>735</v>
      </c>
      <c r="G7" s="12" t="s">
        <v>735</v>
      </c>
      <c r="H7" s="12">
        <v>2019</v>
      </c>
      <c r="I7" s="12" t="s">
        <v>841</v>
      </c>
      <c r="J7" s="12" t="s">
        <v>842</v>
      </c>
    </row>
    <row r="8" spans="2:10" x14ac:dyDescent="0.45">
      <c r="B8" s="11" t="s">
        <v>839</v>
      </c>
      <c r="C8" s="10">
        <v>159220819</v>
      </c>
      <c r="D8">
        <v>2019</v>
      </c>
      <c r="E8" t="s">
        <v>838</v>
      </c>
      <c r="G8" s="5" t="s">
        <v>838</v>
      </c>
      <c r="H8">
        <f>SUMIFS(Table6[[#All],[GROSS]],Table6[[#All],[YEAR]],G8)</f>
        <v>0</v>
      </c>
      <c r="I8" s="13">
        <f>SUMIFS(C7:C127,E7:E127,G8,D7:D127,H7)</f>
        <v>1052365625</v>
      </c>
      <c r="J8" s="5">
        <f>COUNTIF(Table6[[#All],[RATING]],G8)</f>
        <v>45</v>
      </c>
    </row>
    <row r="9" spans="2:10" x14ac:dyDescent="0.45">
      <c r="B9" t="s">
        <v>814</v>
      </c>
      <c r="C9" s="10">
        <v>191719337</v>
      </c>
      <c r="D9">
        <v>2014</v>
      </c>
      <c r="E9" t="s">
        <v>838</v>
      </c>
    </row>
    <row r="10" spans="2:10" x14ac:dyDescent="0.45">
      <c r="B10" s="11" t="s">
        <v>840</v>
      </c>
      <c r="C10" s="10">
        <v>210614939</v>
      </c>
      <c r="D10">
        <v>2007</v>
      </c>
      <c r="E10" t="s">
        <v>838</v>
      </c>
    </row>
    <row r="11" spans="2:10" x14ac:dyDescent="0.45">
      <c r="B11" t="s">
        <v>809</v>
      </c>
      <c r="C11" s="10">
        <v>215288866</v>
      </c>
      <c r="D11">
        <v>2018</v>
      </c>
      <c r="E11" t="s">
        <v>838</v>
      </c>
    </row>
    <row r="12" spans="2:10" x14ac:dyDescent="0.45">
      <c r="B12" t="s">
        <v>821</v>
      </c>
      <c r="C12" s="10">
        <v>172956409</v>
      </c>
      <c r="D12">
        <v>1997</v>
      </c>
      <c r="E12" t="s">
        <v>838</v>
      </c>
    </row>
    <row r="13" spans="2:10" x14ac:dyDescent="0.45">
      <c r="B13" t="s">
        <v>729</v>
      </c>
      <c r="C13" s="10">
        <v>217350219</v>
      </c>
      <c r="D13">
        <v>1992</v>
      </c>
      <c r="E13" t="s">
        <v>736</v>
      </c>
    </row>
    <row r="14" spans="2:10" x14ac:dyDescent="0.45">
      <c r="B14" t="s">
        <v>729</v>
      </c>
      <c r="C14" s="10">
        <v>355559216</v>
      </c>
      <c r="D14">
        <v>2019</v>
      </c>
      <c r="E14" t="s">
        <v>758</v>
      </c>
    </row>
    <row r="15" spans="2:10" x14ac:dyDescent="0.45">
      <c r="B15" t="s">
        <v>751</v>
      </c>
      <c r="C15" s="10">
        <v>334191110</v>
      </c>
      <c r="D15">
        <v>2010</v>
      </c>
      <c r="E15" t="s">
        <v>758</v>
      </c>
    </row>
    <row r="16" spans="2:10" x14ac:dyDescent="0.45">
      <c r="B16" t="s">
        <v>798</v>
      </c>
      <c r="C16" s="10">
        <v>350126372</v>
      </c>
      <c r="D16">
        <v>2014</v>
      </c>
      <c r="E16" t="s">
        <v>838</v>
      </c>
    </row>
    <row r="17" spans="2:5" x14ac:dyDescent="0.45">
      <c r="B17" t="s">
        <v>761</v>
      </c>
      <c r="C17" s="10">
        <v>760507625</v>
      </c>
      <c r="D17">
        <v>2009</v>
      </c>
      <c r="E17" t="s">
        <v>795</v>
      </c>
    </row>
    <row r="18" spans="2:5" x14ac:dyDescent="0.45">
      <c r="B18" t="s">
        <v>771</v>
      </c>
      <c r="C18" s="10">
        <v>459005868</v>
      </c>
      <c r="D18">
        <v>2015</v>
      </c>
      <c r="E18" t="s">
        <v>795</v>
      </c>
    </row>
    <row r="19" spans="2:5" x14ac:dyDescent="0.45">
      <c r="B19" t="s">
        <v>760</v>
      </c>
      <c r="C19" s="10">
        <v>858373000</v>
      </c>
      <c r="D19">
        <v>2019</v>
      </c>
      <c r="E19" t="s">
        <v>795</v>
      </c>
    </row>
    <row r="20" spans="2:5" x14ac:dyDescent="0.45">
      <c r="B20" t="s">
        <v>763</v>
      </c>
      <c r="C20" s="10">
        <v>678815482</v>
      </c>
      <c r="D20">
        <v>2018</v>
      </c>
      <c r="E20" t="s">
        <v>795</v>
      </c>
    </row>
    <row r="21" spans="2:5" x14ac:dyDescent="0.45">
      <c r="B21" t="s">
        <v>813</v>
      </c>
      <c r="C21" s="10">
        <v>204380071</v>
      </c>
      <c r="D21">
        <v>2020</v>
      </c>
      <c r="E21" t="s">
        <v>838</v>
      </c>
    </row>
    <row r="22" spans="2:5" x14ac:dyDescent="0.45">
      <c r="B22" t="s">
        <v>728</v>
      </c>
      <c r="C22" s="10">
        <v>218967620</v>
      </c>
      <c r="D22">
        <v>1991</v>
      </c>
      <c r="E22" t="s">
        <v>736</v>
      </c>
    </row>
    <row r="23" spans="2:5" x14ac:dyDescent="0.45">
      <c r="B23" t="s">
        <v>728</v>
      </c>
      <c r="C23" s="10">
        <v>504014165</v>
      </c>
      <c r="D23">
        <v>2017</v>
      </c>
      <c r="E23" t="s">
        <v>758</v>
      </c>
    </row>
    <row r="24" spans="2:5" x14ac:dyDescent="0.45">
      <c r="B24" t="s">
        <v>805</v>
      </c>
      <c r="C24" s="10">
        <v>234760478</v>
      </c>
      <c r="D24">
        <v>1984</v>
      </c>
      <c r="E24" t="s">
        <v>838</v>
      </c>
    </row>
    <row r="25" spans="2:5" x14ac:dyDescent="0.45">
      <c r="B25" t="s">
        <v>762</v>
      </c>
      <c r="C25" s="10">
        <v>700059566</v>
      </c>
      <c r="D25">
        <v>2018</v>
      </c>
      <c r="E25" t="s">
        <v>795</v>
      </c>
    </row>
    <row r="26" spans="2:5" x14ac:dyDescent="0.45">
      <c r="B26" t="s">
        <v>825</v>
      </c>
      <c r="C26" s="10">
        <v>169106725</v>
      </c>
      <c r="D26">
        <v>2011</v>
      </c>
      <c r="E26" t="s">
        <v>838</v>
      </c>
    </row>
    <row r="27" spans="2:5" x14ac:dyDescent="0.45">
      <c r="B27" t="s">
        <v>779</v>
      </c>
      <c r="C27" s="10">
        <v>408084349</v>
      </c>
      <c r="D27">
        <v>2016</v>
      </c>
      <c r="E27" t="s">
        <v>795</v>
      </c>
    </row>
    <row r="28" spans="2:5" x14ac:dyDescent="0.45">
      <c r="B28" t="s">
        <v>773</v>
      </c>
      <c r="C28" s="10">
        <v>426829839</v>
      </c>
      <c r="D28">
        <v>2019</v>
      </c>
      <c r="E28" t="s">
        <v>795</v>
      </c>
    </row>
    <row r="29" spans="2:5" x14ac:dyDescent="0.45">
      <c r="B29" t="s">
        <v>725</v>
      </c>
      <c r="C29" s="10">
        <v>244082982</v>
      </c>
      <c r="D29">
        <v>2006</v>
      </c>
      <c r="E29" t="s">
        <v>736</v>
      </c>
    </row>
    <row r="30" spans="2:5" x14ac:dyDescent="0.45">
      <c r="B30" t="s">
        <v>732</v>
      </c>
      <c r="C30" s="10">
        <v>191452396</v>
      </c>
      <c r="D30">
        <v>2011</v>
      </c>
      <c r="E30" t="s">
        <v>736</v>
      </c>
    </row>
    <row r="31" spans="2:5" x14ac:dyDescent="0.45">
      <c r="B31" t="s">
        <v>797</v>
      </c>
      <c r="C31" s="10">
        <v>363070709</v>
      </c>
      <c r="D31">
        <v>2016</v>
      </c>
      <c r="E31" t="s">
        <v>838</v>
      </c>
    </row>
    <row r="32" spans="2:5" x14ac:dyDescent="0.45">
      <c r="B32" t="s">
        <v>801</v>
      </c>
      <c r="C32" s="10">
        <v>324591735</v>
      </c>
      <c r="D32">
        <v>2018</v>
      </c>
      <c r="E32" t="s">
        <v>838</v>
      </c>
    </row>
    <row r="33" spans="2:5" x14ac:dyDescent="0.45">
      <c r="B33" t="s">
        <v>746</v>
      </c>
      <c r="C33" s="10">
        <v>368065385</v>
      </c>
      <c r="D33">
        <v>2013</v>
      </c>
      <c r="E33" t="s">
        <v>758</v>
      </c>
    </row>
    <row r="34" spans="2:5" x14ac:dyDescent="0.45">
      <c r="B34" t="s">
        <v>829</v>
      </c>
      <c r="C34" s="10">
        <v>162805434</v>
      </c>
      <c r="D34">
        <v>2012</v>
      </c>
      <c r="E34" t="s">
        <v>838</v>
      </c>
    </row>
    <row r="35" spans="2:5" x14ac:dyDescent="0.45">
      <c r="B35" t="s">
        <v>743</v>
      </c>
      <c r="C35" s="10">
        <v>435110554</v>
      </c>
      <c r="D35">
        <v>1982</v>
      </c>
      <c r="E35" t="s">
        <v>758</v>
      </c>
    </row>
    <row r="36" spans="2:5" x14ac:dyDescent="0.45">
      <c r="B36" t="s">
        <v>835</v>
      </c>
      <c r="C36" s="10">
        <v>156645693</v>
      </c>
      <c r="D36">
        <v>1987</v>
      </c>
      <c r="E36" t="s">
        <v>838</v>
      </c>
    </row>
    <row r="37" spans="2:5" x14ac:dyDescent="0.45">
      <c r="B37" t="s">
        <v>827</v>
      </c>
      <c r="C37" s="10">
        <v>166167230</v>
      </c>
      <c r="D37">
        <v>2015</v>
      </c>
      <c r="E37" t="s">
        <v>838</v>
      </c>
    </row>
    <row r="38" spans="2:5" x14ac:dyDescent="0.45">
      <c r="B38" t="s">
        <v>738</v>
      </c>
      <c r="C38" s="10">
        <v>486295561</v>
      </c>
      <c r="D38">
        <v>2016</v>
      </c>
      <c r="E38" t="s">
        <v>758</v>
      </c>
    </row>
    <row r="39" spans="2:5" x14ac:dyDescent="0.45">
      <c r="B39" t="s">
        <v>721</v>
      </c>
      <c r="C39" s="10">
        <v>380843261</v>
      </c>
      <c r="D39">
        <v>2003</v>
      </c>
      <c r="E39" t="s">
        <v>736</v>
      </c>
    </row>
    <row r="40" spans="2:5" x14ac:dyDescent="0.45">
      <c r="B40" t="s">
        <v>744</v>
      </c>
      <c r="C40" s="10">
        <v>400738009</v>
      </c>
      <c r="D40">
        <v>2013</v>
      </c>
      <c r="E40" t="s">
        <v>758</v>
      </c>
    </row>
    <row r="41" spans="2:5" x14ac:dyDescent="0.45">
      <c r="B41" t="s">
        <v>739</v>
      </c>
      <c r="C41" s="10">
        <v>477371890</v>
      </c>
      <c r="D41">
        <v>2019</v>
      </c>
      <c r="E41" t="s">
        <v>758</v>
      </c>
    </row>
    <row r="42" spans="2:5" x14ac:dyDescent="0.45">
      <c r="B42" t="s">
        <v>791</v>
      </c>
      <c r="C42" s="10">
        <v>353007020</v>
      </c>
      <c r="D42">
        <v>2015</v>
      </c>
      <c r="E42" t="s">
        <v>795</v>
      </c>
    </row>
    <row r="43" spans="2:5" x14ac:dyDescent="0.45">
      <c r="B43" t="s">
        <v>819</v>
      </c>
      <c r="C43" s="10">
        <v>176040665</v>
      </c>
      <c r="D43">
        <v>2017</v>
      </c>
      <c r="E43" t="s">
        <v>838</v>
      </c>
    </row>
    <row r="44" spans="2:5" x14ac:dyDescent="0.45">
      <c r="B44" t="s">
        <v>815</v>
      </c>
      <c r="C44" s="10">
        <v>187705427</v>
      </c>
      <c r="D44">
        <v>2000</v>
      </c>
      <c r="E44" t="s">
        <v>838</v>
      </c>
    </row>
    <row r="45" spans="2:5" x14ac:dyDescent="0.45">
      <c r="B45" t="s">
        <v>826</v>
      </c>
      <c r="C45" s="10">
        <v>167767189</v>
      </c>
      <c r="D45">
        <v>2014</v>
      </c>
      <c r="E45" t="s">
        <v>838</v>
      </c>
    </row>
    <row r="46" spans="2:5" x14ac:dyDescent="0.45">
      <c r="B46" t="s">
        <v>731</v>
      </c>
      <c r="C46" s="10">
        <v>200852579</v>
      </c>
      <c r="D46">
        <v>1939</v>
      </c>
      <c r="E46" t="s">
        <v>736</v>
      </c>
    </row>
    <row r="47" spans="2:5" x14ac:dyDescent="0.45">
      <c r="B47" t="s">
        <v>786</v>
      </c>
      <c r="C47" s="10">
        <v>389813101</v>
      </c>
      <c r="D47">
        <v>2017</v>
      </c>
      <c r="E47" t="s">
        <v>795</v>
      </c>
    </row>
    <row r="48" spans="2:5" x14ac:dyDescent="0.45">
      <c r="B48" t="s">
        <v>832</v>
      </c>
      <c r="C48" s="10">
        <v>159342015</v>
      </c>
      <c r="D48">
        <v>2018</v>
      </c>
      <c r="E48" t="s">
        <v>838</v>
      </c>
    </row>
    <row r="49" spans="2:5" x14ac:dyDescent="0.45">
      <c r="B49" t="s">
        <v>828</v>
      </c>
      <c r="C49" s="10">
        <v>165092268</v>
      </c>
      <c r="D49">
        <v>2001</v>
      </c>
      <c r="E49" t="s">
        <v>838</v>
      </c>
    </row>
    <row r="50" spans="2:5" x14ac:dyDescent="0.45">
      <c r="B50" t="s">
        <v>787</v>
      </c>
      <c r="C50" s="10">
        <v>381409310</v>
      </c>
      <c r="D50">
        <v>2011</v>
      </c>
      <c r="E50" t="s">
        <v>795</v>
      </c>
    </row>
    <row r="51" spans="2:5" x14ac:dyDescent="0.45">
      <c r="B51" t="s">
        <v>756</v>
      </c>
      <c r="C51" s="10">
        <v>302305431</v>
      </c>
      <c r="D51">
        <v>2009</v>
      </c>
      <c r="E51" t="s">
        <v>758</v>
      </c>
    </row>
    <row r="52" spans="2:5" x14ac:dyDescent="0.45">
      <c r="B52" t="s">
        <v>753</v>
      </c>
      <c r="C52" s="10">
        <v>318087620</v>
      </c>
      <c r="D52">
        <v>2001</v>
      </c>
      <c r="E52" t="s">
        <v>758</v>
      </c>
    </row>
    <row r="53" spans="2:5" x14ac:dyDescent="0.45">
      <c r="B53" t="s">
        <v>737</v>
      </c>
      <c r="C53" s="10">
        <v>608581744</v>
      </c>
      <c r="D53">
        <v>2018</v>
      </c>
      <c r="E53" t="s">
        <v>758</v>
      </c>
    </row>
    <row r="54" spans="2:5" x14ac:dyDescent="0.45">
      <c r="B54" t="s">
        <v>748</v>
      </c>
      <c r="C54" s="10">
        <v>356461711</v>
      </c>
      <c r="D54">
        <v>2015</v>
      </c>
      <c r="E54" t="s">
        <v>758</v>
      </c>
    </row>
    <row r="55" spans="2:5" x14ac:dyDescent="0.45">
      <c r="B55" t="s">
        <v>778</v>
      </c>
      <c r="C55" s="10">
        <v>409013994</v>
      </c>
      <c r="D55">
        <v>2013</v>
      </c>
      <c r="E55" t="s">
        <v>795</v>
      </c>
    </row>
    <row r="56" spans="2:5" x14ac:dyDescent="0.45">
      <c r="B56" t="s">
        <v>800</v>
      </c>
      <c r="C56" s="10">
        <v>328828874</v>
      </c>
      <c r="D56">
        <v>2017</v>
      </c>
      <c r="E56" t="s">
        <v>838</v>
      </c>
    </row>
    <row r="57" spans="2:5" x14ac:dyDescent="0.45">
      <c r="B57" t="s">
        <v>810</v>
      </c>
      <c r="C57" s="10">
        <v>211593228</v>
      </c>
      <c r="D57">
        <v>2019</v>
      </c>
      <c r="E57" t="s">
        <v>838</v>
      </c>
    </row>
    <row r="58" spans="2:5" x14ac:dyDescent="0.45">
      <c r="B58" t="s">
        <v>837</v>
      </c>
      <c r="C58" s="10">
        <v>153952592</v>
      </c>
      <c r="D58">
        <v>1996</v>
      </c>
      <c r="E58" t="s">
        <v>838</v>
      </c>
    </row>
    <row r="59" spans="2:5" x14ac:dyDescent="0.45">
      <c r="B59" t="s">
        <v>824</v>
      </c>
      <c r="C59" s="10">
        <v>171015687</v>
      </c>
      <c r="D59">
        <v>2019</v>
      </c>
      <c r="E59" t="s">
        <v>838</v>
      </c>
    </row>
    <row r="60" spans="2:5" x14ac:dyDescent="0.45">
      <c r="B60" t="s">
        <v>799</v>
      </c>
      <c r="C60" s="10">
        <v>335451311</v>
      </c>
      <c r="D60">
        <v>2019</v>
      </c>
      <c r="E60" t="s">
        <v>838</v>
      </c>
    </row>
    <row r="61" spans="2:5" x14ac:dyDescent="0.45">
      <c r="B61" t="s">
        <v>782</v>
      </c>
      <c r="C61" s="10">
        <v>404540171</v>
      </c>
      <c r="D61">
        <v>2017</v>
      </c>
      <c r="E61" t="s">
        <v>795</v>
      </c>
    </row>
    <row r="62" spans="2:5" x14ac:dyDescent="0.45">
      <c r="B62" t="s">
        <v>783</v>
      </c>
      <c r="C62" s="10">
        <v>402828120</v>
      </c>
      <c r="D62">
        <v>1993</v>
      </c>
      <c r="E62" t="s">
        <v>795</v>
      </c>
    </row>
    <row r="63" spans="2:5" x14ac:dyDescent="0.45">
      <c r="B63" t="s">
        <v>765</v>
      </c>
      <c r="C63" s="10">
        <v>652270625</v>
      </c>
      <c r="D63">
        <v>2015</v>
      </c>
      <c r="E63" t="s">
        <v>795</v>
      </c>
    </row>
    <row r="64" spans="2:5" x14ac:dyDescent="0.45">
      <c r="B64" t="s">
        <v>776</v>
      </c>
      <c r="C64" s="10">
        <v>417719760</v>
      </c>
      <c r="D64">
        <v>2018</v>
      </c>
      <c r="E64" t="s">
        <v>795</v>
      </c>
    </row>
    <row r="65" spans="2:5" x14ac:dyDescent="0.45">
      <c r="B65" t="s">
        <v>670</v>
      </c>
      <c r="C65" s="10">
        <v>226277068</v>
      </c>
      <c r="D65">
        <v>2017</v>
      </c>
      <c r="E65" t="s">
        <v>838</v>
      </c>
    </row>
    <row r="66" spans="2:5" x14ac:dyDescent="0.45">
      <c r="B66" t="s">
        <v>836</v>
      </c>
      <c r="C66" s="10">
        <v>154058340</v>
      </c>
      <c r="D66">
        <v>2015</v>
      </c>
      <c r="E66" t="s">
        <v>838</v>
      </c>
    </row>
    <row r="67" spans="2:5" x14ac:dyDescent="0.45">
      <c r="B67" t="s">
        <v>750</v>
      </c>
      <c r="C67" s="10">
        <v>336045770</v>
      </c>
      <c r="D67">
        <v>2015</v>
      </c>
      <c r="E67" t="s">
        <v>758</v>
      </c>
    </row>
    <row r="68" spans="2:5" x14ac:dyDescent="0.45">
      <c r="B68" t="s">
        <v>723</v>
      </c>
      <c r="C68" s="10">
        <v>268492764</v>
      </c>
      <c r="D68">
        <v>2013</v>
      </c>
      <c r="E68" t="s">
        <v>736</v>
      </c>
    </row>
    <row r="69" spans="2:5" x14ac:dyDescent="0.45">
      <c r="B69" t="s">
        <v>722</v>
      </c>
      <c r="C69" s="10">
        <v>289916256</v>
      </c>
      <c r="D69">
        <v>2001</v>
      </c>
      <c r="E69" t="s">
        <v>736</v>
      </c>
    </row>
    <row r="70" spans="2:5" x14ac:dyDescent="0.45">
      <c r="B70" t="s">
        <v>775</v>
      </c>
      <c r="C70" s="10">
        <v>423315812</v>
      </c>
      <c r="D70">
        <v>2006</v>
      </c>
      <c r="E70" t="s">
        <v>795</v>
      </c>
    </row>
    <row r="71" spans="2:5" x14ac:dyDescent="0.45">
      <c r="B71" t="s">
        <v>817</v>
      </c>
      <c r="C71" s="10">
        <v>178406268</v>
      </c>
      <c r="D71">
        <v>1990</v>
      </c>
      <c r="E71" t="s">
        <v>838</v>
      </c>
    </row>
    <row r="72" spans="2:5" x14ac:dyDescent="0.45">
      <c r="B72" t="s">
        <v>822</v>
      </c>
      <c r="C72" s="10">
        <v>172825435</v>
      </c>
      <c r="D72">
        <v>1988</v>
      </c>
      <c r="E72" t="s">
        <v>838</v>
      </c>
    </row>
    <row r="73" spans="2:5" x14ac:dyDescent="0.45">
      <c r="B73" t="s">
        <v>730</v>
      </c>
      <c r="C73" s="10">
        <v>206445654</v>
      </c>
      <c r="D73">
        <v>2007</v>
      </c>
      <c r="E73" t="s">
        <v>736</v>
      </c>
    </row>
    <row r="74" spans="2:5" x14ac:dyDescent="0.45">
      <c r="B74" t="s">
        <v>769</v>
      </c>
      <c r="C74" s="10">
        <v>532177324</v>
      </c>
      <c r="D74">
        <v>2016</v>
      </c>
      <c r="E74" t="s">
        <v>795</v>
      </c>
    </row>
    <row r="75" spans="2:5" x14ac:dyDescent="0.45">
      <c r="B75" t="s">
        <v>808</v>
      </c>
      <c r="C75" s="10">
        <v>217049603</v>
      </c>
      <c r="D75">
        <v>1998</v>
      </c>
      <c r="E75" t="s">
        <v>838</v>
      </c>
    </row>
    <row r="76" spans="2:5" x14ac:dyDescent="0.45">
      <c r="B76" t="s">
        <v>834</v>
      </c>
      <c r="C76" s="10">
        <v>157019771</v>
      </c>
      <c r="D76">
        <v>2000</v>
      </c>
      <c r="E76" t="s">
        <v>838</v>
      </c>
    </row>
    <row r="77" spans="2:5" x14ac:dyDescent="0.45">
      <c r="B77" t="s">
        <v>742</v>
      </c>
      <c r="C77" s="10">
        <v>441226247</v>
      </c>
      <c r="D77">
        <v>2004</v>
      </c>
      <c r="E77" t="s">
        <v>758</v>
      </c>
    </row>
    <row r="78" spans="2:5" x14ac:dyDescent="0.45">
      <c r="B78" t="s">
        <v>752</v>
      </c>
      <c r="C78" s="10">
        <v>322719944</v>
      </c>
      <c r="D78">
        <v>2007</v>
      </c>
      <c r="E78" t="s">
        <v>758</v>
      </c>
    </row>
    <row r="79" spans="2:5" x14ac:dyDescent="0.45">
      <c r="B79" t="s">
        <v>781</v>
      </c>
      <c r="C79" s="10">
        <v>407022860</v>
      </c>
      <c r="D79">
        <v>2002</v>
      </c>
      <c r="E79" t="s">
        <v>795</v>
      </c>
    </row>
    <row r="80" spans="2:5" x14ac:dyDescent="0.45">
      <c r="B80" t="s">
        <v>790</v>
      </c>
      <c r="C80" s="10">
        <v>373585825</v>
      </c>
      <c r="D80">
        <v>2004</v>
      </c>
      <c r="E80" t="s">
        <v>795</v>
      </c>
    </row>
    <row r="81" spans="2:5" x14ac:dyDescent="0.45">
      <c r="B81" t="s">
        <v>785</v>
      </c>
      <c r="C81" s="10">
        <v>390532085</v>
      </c>
      <c r="D81">
        <v>2019</v>
      </c>
      <c r="E81" t="s">
        <v>795</v>
      </c>
    </row>
    <row r="82" spans="2:5" x14ac:dyDescent="0.45">
      <c r="B82" t="s">
        <v>740</v>
      </c>
      <c r="C82" s="10">
        <v>474544677</v>
      </c>
      <c r="D82">
        <v>1999</v>
      </c>
      <c r="E82" t="s">
        <v>758</v>
      </c>
    </row>
    <row r="83" spans="2:5" x14ac:dyDescent="0.45">
      <c r="B83" t="s">
        <v>754</v>
      </c>
      <c r="C83" s="10">
        <v>310676740</v>
      </c>
      <c r="D83">
        <v>2002</v>
      </c>
      <c r="E83" t="s">
        <v>758</v>
      </c>
    </row>
    <row r="84" spans="2:5" x14ac:dyDescent="0.45">
      <c r="B84" t="s">
        <v>788</v>
      </c>
      <c r="C84" s="10">
        <v>380270577</v>
      </c>
      <c r="D84">
        <v>2005</v>
      </c>
      <c r="E84" t="s">
        <v>795</v>
      </c>
    </row>
    <row r="85" spans="2:5" x14ac:dyDescent="0.45">
      <c r="B85" t="s">
        <v>741</v>
      </c>
      <c r="C85" s="10">
        <v>460998507</v>
      </c>
      <c r="D85">
        <v>1977</v>
      </c>
      <c r="E85" t="s">
        <v>758</v>
      </c>
    </row>
    <row r="86" spans="2:5" x14ac:dyDescent="0.45">
      <c r="B86" t="s">
        <v>770</v>
      </c>
      <c r="C86" s="10">
        <v>515198941</v>
      </c>
      <c r="D86">
        <v>2019</v>
      </c>
      <c r="E86" t="s">
        <v>795</v>
      </c>
    </row>
    <row r="87" spans="2:5" x14ac:dyDescent="0.45">
      <c r="B87" t="s">
        <v>755</v>
      </c>
      <c r="C87" s="10">
        <v>309306177</v>
      </c>
      <c r="D87">
        <v>1983</v>
      </c>
      <c r="E87" t="s">
        <v>758</v>
      </c>
    </row>
    <row r="88" spans="2:5" x14ac:dyDescent="0.45">
      <c r="B88" t="s">
        <v>759</v>
      </c>
      <c r="C88" s="10">
        <v>936662225</v>
      </c>
      <c r="D88">
        <v>2015</v>
      </c>
      <c r="E88" t="s">
        <v>795</v>
      </c>
    </row>
    <row r="89" spans="2:5" x14ac:dyDescent="0.45">
      <c r="B89" t="s">
        <v>767</v>
      </c>
      <c r="C89" s="10">
        <v>620181382</v>
      </c>
      <c r="D89">
        <v>2017</v>
      </c>
      <c r="E89" t="s">
        <v>795</v>
      </c>
    </row>
    <row r="90" spans="2:5" x14ac:dyDescent="0.45">
      <c r="B90" t="s">
        <v>830</v>
      </c>
      <c r="C90" s="10">
        <v>161197785</v>
      </c>
      <c r="D90">
        <v>2015</v>
      </c>
      <c r="E90" t="s">
        <v>838</v>
      </c>
    </row>
    <row r="91" spans="2:5" x14ac:dyDescent="0.45">
      <c r="B91" t="s">
        <v>807</v>
      </c>
      <c r="C91" s="10">
        <v>218815487</v>
      </c>
      <c r="D91">
        <v>2012</v>
      </c>
      <c r="E91" t="s">
        <v>838</v>
      </c>
    </row>
    <row r="92" spans="2:5" x14ac:dyDescent="0.45">
      <c r="B92" t="s">
        <v>812</v>
      </c>
      <c r="C92" s="10">
        <v>205881154</v>
      </c>
      <c r="D92">
        <v>1991</v>
      </c>
      <c r="E92" t="s">
        <v>838</v>
      </c>
    </row>
    <row r="93" spans="2:5" x14ac:dyDescent="0.45">
      <c r="B93" t="s">
        <v>766</v>
      </c>
      <c r="C93" s="10">
        <v>623357910</v>
      </c>
      <c r="D93">
        <v>2012</v>
      </c>
      <c r="E93" t="s">
        <v>795</v>
      </c>
    </row>
    <row r="94" spans="2:5" x14ac:dyDescent="0.45">
      <c r="B94" t="s">
        <v>768</v>
      </c>
      <c r="C94" s="10">
        <v>535234033</v>
      </c>
      <c r="D94">
        <v>2008</v>
      </c>
      <c r="E94" t="s">
        <v>795</v>
      </c>
    </row>
    <row r="95" spans="2:5" x14ac:dyDescent="0.45">
      <c r="B95" t="s">
        <v>772</v>
      </c>
      <c r="C95" s="10">
        <v>448139099</v>
      </c>
      <c r="D95">
        <v>2012</v>
      </c>
      <c r="E95" t="s">
        <v>795</v>
      </c>
    </row>
    <row r="96" spans="2:5" x14ac:dyDescent="0.45">
      <c r="B96" t="s">
        <v>806</v>
      </c>
      <c r="C96" s="10">
        <v>232906145</v>
      </c>
      <c r="D96">
        <v>1973</v>
      </c>
      <c r="E96" t="s">
        <v>838</v>
      </c>
    </row>
    <row r="97" spans="2:5" x14ac:dyDescent="0.45">
      <c r="B97" t="s">
        <v>833</v>
      </c>
      <c r="C97" s="10">
        <v>158348367</v>
      </c>
      <c r="D97">
        <v>1993</v>
      </c>
      <c r="E97" t="s">
        <v>838</v>
      </c>
    </row>
    <row r="98" spans="2:5" x14ac:dyDescent="0.45">
      <c r="B98" t="s">
        <v>803</v>
      </c>
      <c r="C98" s="10">
        <v>277322503</v>
      </c>
      <c r="D98">
        <v>2009</v>
      </c>
      <c r="E98" t="s">
        <v>838</v>
      </c>
    </row>
    <row r="99" spans="2:5" x14ac:dyDescent="0.45">
      <c r="B99" t="s">
        <v>804</v>
      </c>
      <c r="C99" s="10">
        <v>254464305</v>
      </c>
      <c r="D99">
        <v>2011</v>
      </c>
      <c r="E99" t="s">
        <v>838</v>
      </c>
    </row>
    <row r="100" spans="2:5" x14ac:dyDescent="0.45">
      <c r="B100" t="s">
        <v>831</v>
      </c>
      <c r="C100" s="10">
        <v>159582188</v>
      </c>
      <c r="D100">
        <v>2013</v>
      </c>
      <c r="E100" t="s">
        <v>838</v>
      </c>
    </row>
    <row r="101" spans="2:5" x14ac:dyDescent="0.45">
      <c r="B101" t="s">
        <v>780</v>
      </c>
      <c r="C101" s="10">
        <v>408010692</v>
      </c>
      <c r="D101">
        <v>2012</v>
      </c>
      <c r="E101" t="s">
        <v>795</v>
      </c>
    </row>
    <row r="102" spans="2:5" x14ac:dyDescent="0.45">
      <c r="B102" t="s">
        <v>774</v>
      </c>
      <c r="C102" s="10">
        <v>424668047</v>
      </c>
      <c r="D102">
        <v>2013</v>
      </c>
      <c r="E102" t="s">
        <v>795</v>
      </c>
    </row>
    <row r="103" spans="2:5" x14ac:dyDescent="0.45">
      <c r="B103" t="s">
        <v>794</v>
      </c>
      <c r="C103" s="10">
        <v>337135885</v>
      </c>
      <c r="D103">
        <v>2014</v>
      </c>
      <c r="E103" t="s">
        <v>795</v>
      </c>
    </row>
    <row r="104" spans="2:5" x14ac:dyDescent="0.45">
      <c r="B104" t="s">
        <v>747</v>
      </c>
      <c r="C104" s="10">
        <v>364001123</v>
      </c>
      <c r="D104">
        <v>2016</v>
      </c>
      <c r="E104" t="s">
        <v>758</v>
      </c>
    </row>
    <row r="105" spans="2:5" x14ac:dyDescent="0.45">
      <c r="B105" t="s">
        <v>719</v>
      </c>
      <c r="C105" s="10">
        <v>422783777</v>
      </c>
      <c r="D105">
        <v>1994</v>
      </c>
      <c r="E105" t="s">
        <v>736</v>
      </c>
    </row>
    <row r="106" spans="2:5" x14ac:dyDescent="0.45">
      <c r="B106" t="s">
        <v>719</v>
      </c>
      <c r="C106" s="10">
        <v>543638043</v>
      </c>
      <c r="D106">
        <v>2019</v>
      </c>
      <c r="E106" t="s">
        <v>758</v>
      </c>
    </row>
    <row r="107" spans="2:5" x14ac:dyDescent="0.45">
      <c r="B107" t="s">
        <v>789</v>
      </c>
      <c r="C107" s="10">
        <v>377845905</v>
      </c>
      <c r="D107">
        <v>2003</v>
      </c>
      <c r="E107" t="s">
        <v>795</v>
      </c>
    </row>
    <row r="108" spans="2:5" x14ac:dyDescent="0.45">
      <c r="B108" t="s">
        <v>793</v>
      </c>
      <c r="C108" s="10">
        <v>342551365</v>
      </c>
      <c r="D108">
        <v>2002</v>
      </c>
      <c r="E108" t="s">
        <v>795</v>
      </c>
    </row>
    <row r="109" spans="2:5" x14ac:dyDescent="0.45">
      <c r="B109" t="s">
        <v>823</v>
      </c>
      <c r="C109" s="10">
        <v>171479930</v>
      </c>
      <c r="D109">
        <v>1999</v>
      </c>
      <c r="E109" t="s">
        <v>838</v>
      </c>
    </row>
    <row r="110" spans="2:5" x14ac:dyDescent="0.45">
      <c r="B110" t="s">
        <v>802</v>
      </c>
      <c r="C110" s="10">
        <v>281576461</v>
      </c>
      <c r="D110">
        <v>2003</v>
      </c>
      <c r="E110" t="s">
        <v>838</v>
      </c>
    </row>
    <row r="111" spans="2:5" x14ac:dyDescent="0.45">
      <c r="B111" t="s">
        <v>796</v>
      </c>
      <c r="C111" s="10">
        <v>370782930</v>
      </c>
      <c r="D111">
        <v>2004</v>
      </c>
      <c r="E111" t="s">
        <v>838</v>
      </c>
    </row>
    <row r="112" spans="2:5" x14ac:dyDescent="0.45">
      <c r="B112" t="s">
        <v>816</v>
      </c>
      <c r="C112" s="10">
        <v>183637894</v>
      </c>
      <c r="D112">
        <v>2015</v>
      </c>
      <c r="E112" t="s">
        <v>838</v>
      </c>
    </row>
    <row r="113" spans="2:5" x14ac:dyDescent="0.45">
      <c r="B113" t="s">
        <v>745</v>
      </c>
      <c r="C113" s="10">
        <v>368384330</v>
      </c>
      <c r="D113">
        <v>2016</v>
      </c>
      <c r="E113" t="s">
        <v>758</v>
      </c>
    </row>
    <row r="114" spans="2:5" x14ac:dyDescent="0.45">
      <c r="B114" t="s">
        <v>818</v>
      </c>
      <c r="C114" s="10">
        <v>176484651</v>
      </c>
      <c r="D114">
        <v>1998</v>
      </c>
      <c r="E114" t="s">
        <v>838</v>
      </c>
    </row>
    <row r="115" spans="2:5" x14ac:dyDescent="0.45">
      <c r="B115" t="s">
        <v>764</v>
      </c>
      <c r="C115" s="10">
        <v>659363944</v>
      </c>
      <c r="D115">
        <v>1997</v>
      </c>
      <c r="E115" t="s">
        <v>795</v>
      </c>
    </row>
    <row r="116" spans="2:5" x14ac:dyDescent="0.45">
      <c r="B116" t="s">
        <v>727</v>
      </c>
      <c r="C116" s="10">
        <v>222498679</v>
      </c>
      <c r="D116">
        <v>1995</v>
      </c>
      <c r="E116" t="s">
        <v>736</v>
      </c>
    </row>
    <row r="117" spans="2:5" x14ac:dyDescent="0.45">
      <c r="B117" t="s">
        <v>724</v>
      </c>
      <c r="C117" s="10">
        <v>245852179</v>
      </c>
      <c r="D117">
        <v>1999</v>
      </c>
      <c r="E117" t="s">
        <v>736</v>
      </c>
    </row>
    <row r="118" spans="2:5" x14ac:dyDescent="0.45">
      <c r="B118" t="s">
        <v>720</v>
      </c>
      <c r="C118" s="10">
        <v>415004880</v>
      </c>
      <c r="D118">
        <v>2010</v>
      </c>
      <c r="E118" t="s">
        <v>736</v>
      </c>
    </row>
    <row r="119" spans="2:5" x14ac:dyDescent="0.45">
      <c r="B119" t="s">
        <v>718</v>
      </c>
      <c r="C119" s="10">
        <v>434038008</v>
      </c>
      <c r="D119">
        <v>2019</v>
      </c>
      <c r="E119" t="s">
        <v>736</v>
      </c>
    </row>
    <row r="120" spans="2:5" x14ac:dyDescent="0.45">
      <c r="B120" t="s">
        <v>792</v>
      </c>
      <c r="C120" s="10">
        <v>352390543</v>
      </c>
      <c r="D120">
        <v>2011</v>
      </c>
      <c r="E120" t="s">
        <v>795</v>
      </c>
    </row>
    <row r="121" spans="2:5" x14ac:dyDescent="0.45">
      <c r="B121" t="s">
        <v>784</v>
      </c>
      <c r="C121" s="10">
        <v>402111870</v>
      </c>
      <c r="D121">
        <v>2009</v>
      </c>
      <c r="E121" t="s">
        <v>795</v>
      </c>
    </row>
    <row r="122" spans="2:5" x14ac:dyDescent="0.45">
      <c r="B122" t="s">
        <v>757</v>
      </c>
      <c r="C122" s="10">
        <v>293004164</v>
      </c>
      <c r="D122">
        <v>2009</v>
      </c>
      <c r="E122" t="s">
        <v>758</v>
      </c>
    </row>
    <row r="123" spans="2:5" x14ac:dyDescent="0.45">
      <c r="B123" t="s">
        <v>820</v>
      </c>
      <c r="C123" s="10">
        <v>175084580</v>
      </c>
      <c r="D123">
        <v>2019</v>
      </c>
      <c r="E123" t="s">
        <v>838</v>
      </c>
    </row>
    <row r="124" spans="2:5" x14ac:dyDescent="0.45">
      <c r="B124" t="s">
        <v>726</v>
      </c>
      <c r="C124" s="10">
        <v>223808164</v>
      </c>
      <c r="D124">
        <v>2008</v>
      </c>
      <c r="E124" t="s">
        <v>736</v>
      </c>
    </row>
    <row r="125" spans="2:5" x14ac:dyDescent="0.45">
      <c r="B125" t="s">
        <v>811</v>
      </c>
      <c r="C125" s="10">
        <v>209255921</v>
      </c>
      <c r="D125">
        <v>2005</v>
      </c>
      <c r="E125" t="s">
        <v>838</v>
      </c>
    </row>
    <row r="126" spans="2:5" x14ac:dyDescent="0.45">
      <c r="B126" t="s">
        <v>777</v>
      </c>
      <c r="C126" s="10">
        <v>412563408</v>
      </c>
      <c r="D126">
        <v>2017</v>
      </c>
      <c r="E126" t="s">
        <v>795</v>
      </c>
    </row>
    <row r="127" spans="2:5" x14ac:dyDescent="0.45">
      <c r="B127" t="s">
        <v>749</v>
      </c>
      <c r="C127" s="10">
        <v>341268248</v>
      </c>
      <c r="D127">
        <v>2016</v>
      </c>
      <c r="E127" t="s">
        <v>758</v>
      </c>
    </row>
  </sheetData>
  <mergeCells count="1">
    <mergeCell ref="B1:G1"/>
  </mergeCells>
  <phoneticPr fontId="10" type="noConversion"/>
  <dataValidations count="2">
    <dataValidation type="list" allowBlank="1" showInputMessage="1" showErrorMessage="1" sqref="G7 G8" xr:uid="{A1C178A4-65C5-47C5-BBE1-31F1789E63FB}">
      <formula1>$E$7:$E$127</formula1>
    </dataValidation>
    <dataValidation type="list" allowBlank="1" showInputMessage="1" showErrorMessage="1" sqref="H7" xr:uid="{A5519896-99A9-4C4E-A621-6BC27D3F1589}">
      <formula1>$D$7:$D$127</formula1>
    </dataValidation>
  </dataValidations>
  <hyperlinks>
    <hyperlink ref="D53" r:id="rId1" display="https://www.boxofficemojo.com/year/2018/?ref_=bo_cso_table_1" xr:uid="{40A87CB3-DEE4-41E3-92CE-A890D8DC5CAB}"/>
    <hyperlink ref="D106" r:id="rId2" display="https://www.boxofficemojo.com/year/2019/?ref_=bo_cso_table_2" xr:uid="{DE2185E5-10B5-4B13-82FD-AE34A5659279}"/>
    <hyperlink ref="D23" r:id="rId3" display="https://www.boxofficemojo.com/year/2017/?ref_=bo_cso_table_3" xr:uid="{5F621E44-F95E-42F3-B0B4-C94DD5AED314}"/>
    <hyperlink ref="D38" r:id="rId4" display="https://www.boxofficemojo.com/year/2016/?ref_=bo_cso_table_4" xr:uid="{171BC60D-677C-4A48-9AFD-228FC8E67B3E}"/>
    <hyperlink ref="D41" r:id="rId5" display="https://www.boxofficemojo.com/year/2019/?ref_=bo_cso_table_5" xr:uid="{45278344-E6AD-4582-9DB7-199741EAB693}"/>
    <hyperlink ref="D82" r:id="rId6" display="https://www.boxofficemojo.com/year/1999/?ref_=bo_cso_table_6" xr:uid="{93313929-61F7-4821-A895-7F1A442BCBED}"/>
    <hyperlink ref="D85" r:id="rId7" display="https://www.boxofficemojo.com/year/1977/?ref_=bo_cso_table_7" xr:uid="{616B823F-2693-433A-8784-FCD883B67E11}"/>
    <hyperlink ref="D77" r:id="rId8" display="https://www.boxofficemojo.com/year/2004/?ref_=bo_cso_table_8" xr:uid="{00945313-7E2E-4C44-93DE-04C6E7AF0143}"/>
    <hyperlink ref="D35" r:id="rId9" display="https://www.boxofficemojo.com/year/1982/?ref_=bo_cso_table_9" xr:uid="{25BEDE52-FBB3-4D99-A377-4D865AD867CB}"/>
    <hyperlink ref="D40" r:id="rId10" display="https://www.boxofficemojo.com/year/2013/?ref_=bo_cso_table_10" xr:uid="{88D0B19C-80E4-4775-AAE8-BF0296934D15}"/>
    <hyperlink ref="D113" r:id="rId11" display="https://www.boxofficemojo.com/year/2016/?ref_=bo_cso_table_11" xr:uid="{F85AF0E4-B1FB-4709-9398-1ADCA22230C3}"/>
    <hyperlink ref="D33" r:id="rId12" display="https://www.boxofficemojo.com/year/2013/?ref_=bo_cso_table_12" xr:uid="{9FF4EF04-F226-458C-B45B-6A9278B64799}"/>
    <hyperlink ref="D104" r:id="rId13" display="https://www.boxofficemojo.com/year/2016/?ref_=bo_cso_table_13" xr:uid="{CC25722A-8F95-40EF-B37A-E54853DDEF3C}"/>
    <hyperlink ref="D54" r:id="rId14" display="https://www.boxofficemojo.com/year/2015/?ref_=bo_cso_table_14" xr:uid="{FB28A1FE-3B23-4FA6-8190-3A092F55C762}"/>
    <hyperlink ref="D14" r:id="rId15" display="https://www.boxofficemojo.com/year/2019/?ref_=bo_cso_table_15" xr:uid="{4DA0877F-9F68-460C-AC3B-D1913D3F8BE8}"/>
    <hyperlink ref="D127" r:id="rId16" display="https://www.boxofficemojo.com/year/2016/?ref_=bo_cso_table_16" xr:uid="{2D04578B-80B9-4062-80A1-0B7D64F83BD5}"/>
    <hyperlink ref="D67" r:id="rId17" display="https://www.boxofficemojo.com/year/2015/?ref_=bo_cso_table_17" xr:uid="{72175BDF-8B1F-40A5-9037-3647FEB0E6EF}"/>
    <hyperlink ref="D15" r:id="rId18" display="https://www.boxofficemojo.com/year/2010/?ref_=bo_cso_table_18" xr:uid="{350BFF53-8B95-4BDE-BD28-185BC0F49B5B}"/>
    <hyperlink ref="D78" r:id="rId19" display="https://www.boxofficemojo.com/year/2007/?ref_=bo_cso_table_19" xr:uid="{35AE5AD0-CCA7-45F2-861B-2CC0E5AEDAA0}"/>
    <hyperlink ref="D52" r:id="rId20" display="https://www.boxofficemojo.com/year/2001/?ref_=bo_cso_table_20" xr:uid="{B4B3CBA6-F89E-4712-9794-1335B1938CC3}"/>
    <hyperlink ref="D83" r:id="rId21" display="https://www.boxofficemojo.com/year/2002/?ref_=bo_cso_table_21" xr:uid="{0F6EB2E2-34A5-4427-A337-4A27302C5406}"/>
    <hyperlink ref="D87" r:id="rId22" display="https://www.boxofficemojo.com/year/1983/?ref_=bo_cso_table_22" xr:uid="{2717CBD3-6DEF-4A73-ACB5-962E7F5580AC}"/>
    <hyperlink ref="D51" r:id="rId23" display="https://www.boxofficemojo.com/year/2009/?ref_=bo_cso_table_23" xr:uid="{7E271042-5694-46F4-BD11-D06E7FE16C6A}"/>
    <hyperlink ref="D122" r:id="rId24" display="https://www.boxofficemojo.com/year/2009/?ref_=bo_cso_table_24" xr:uid="{1C9C4DEA-5262-47F0-899F-096A651C5FE9}"/>
    <hyperlink ref="D88" r:id="rId25" display="https://www.boxofficemojo.com/year/2015/?ref_=bo_cso_table_1" xr:uid="{56E847F4-9159-4CAD-9157-33236B233EBB}"/>
    <hyperlink ref="D19" r:id="rId26" display="https://www.boxofficemojo.com/year/2019/?ref_=bo_cso_table_2" xr:uid="{32872D1B-95F8-4BE8-9D4A-E9F6D1C771D0}"/>
    <hyperlink ref="D17" r:id="rId27" display="https://www.boxofficemojo.com/year/2009/?ref_=bo_cso_table_3" xr:uid="{2BED3182-D201-4BFD-B69D-70B5088E1EC4}"/>
    <hyperlink ref="D25" r:id="rId28" display="https://www.boxofficemojo.com/year/2018/?ref_=bo_cso_table_4" xr:uid="{F207600B-C590-4F9A-B94D-70491EB8710A}"/>
    <hyperlink ref="D20" r:id="rId29" display="https://www.boxofficemojo.com/year/2018/?ref_=bo_cso_table_5" xr:uid="{7545DB3C-AB6C-4122-BB45-2A881A553D52}"/>
    <hyperlink ref="D115" r:id="rId30" display="https://www.boxofficemojo.com/year/1997/?ref_=bo_cso_table_6" xr:uid="{3D834CC7-2F73-4119-9FCA-4F1966B3D70E}"/>
    <hyperlink ref="D63" r:id="rId31" display="https://www.boxofficemojo.com/year/2015/?ref_=bo_cso_table_7" xr:uid="{F525C37E-E703-4BB3-95E8-4CAF0C9F0929}"/>
    <hyperlink ref="D93" r:id="rId32" display="https://www.boxofficemojo.com/year/2012/?ref_=bo_cso_table_8" xr:uid="{8CDF19E0-75E2-4223-8FDA-630BE1DE4D09}"/>
    <hyperlink ref="D89" r:id="rId33" display="https://www.boxofficemojo.com/year/2017/?ref_=bo_cso_table_9" xr:uid="{AF327F25-F14A-498E-9DAC-3C6F6089E130}"/>
    <hyperlink ref="D94" r:id="rId34" display="https://www.boxofficemojo.com/year/2008/?ref_=bo_cso_table_10" xr:uid="{FBFE38C6-1633-4398-AB7F-51E9E93AE626}"/>
    <hyperlink ref="D74" r:id="rId35" display="https://www.boxofficemojo.com/year/2016/?ref_=bo_cso_table_11" xr:uid="{94E03873-7E8E-49EA-81C2-95F293651B90}"/>
    <hyperlink ref="D86" r:id="rId36" display="https://www.boxofficemojo.com/year/2019/?ref_=bo_cso_table_12" xr:uid="{426E6432-5BEB-46C6-80B7-A81E8E0CF4B3}"/>
    <hyperlink ref="D18" r:id="rId37" display="https://www.boxofficemojo.com/year/2015/?ref_=bo_cso_table_13" xr:uid="{C165F055-86E8-4BFD-BA24-7ED1A78FDAA1}"/>
    <hyperlink ref="D95" r:id="rId38" display="https://www.boxofficemojo.com/year/2012/?ref_=bo_cso_table_14" xr:uid="{F0C8BAB8-FB71-478A-9C2C-C1BCE1A09967}"/>
    <hyperlink ref="D28" r:id="rId39" display="https://www.boxofficemojo.com/year/2019/?ref_=bo_cso_table_15" xr:uid="{E333C659-F253-4921-8B62-76290CF1F4AF}"/>
    <hyperlink ref="D102" r:id="rId40" display="https://www.boxofficemojo.com/year/2013/?ref_=bo_cso_table_16" xr:uid="{F3C04659-0240-4E7E-9092-10C12852C1A6}"/>
    <hyperlink ref="D70" r:id="rId41" display="https://www.boxofficemojo.com/year/2006/?ref_=bo_cso_table_17" xr:uid="{2553E50C-BD94-47C8-86C1-137E41E2B976}"/>
    <hyperlink ref="D64" r:id="rId42" display="https://www.boxofficemojo.com/year/2018/?ref_=bo_cso_table_18" xr:uid="{C30271EF-FF78-4343-B8F1-46B89351F354}"/>
    <hyperlink ref="D126" r:id="rId43" display="https://www.boxofficemojo.com/year/2017/?ref_=bo_cso_table_19" xr:uid="{B0DBB100-858D-4B98-8EA0-4BCA79FE128E}"/>
    <hyperlink ref="D55" r:id="rId44" display="https://www.boxofficemojo.com/year/2013/?ref_=bo_cso_table_20" xr:uid="{9C13436E-FB3B-4D6D-BF26-DDDA2FFEADAA}"/>
    <hyperlink ref="D27" r:id="rId45" display="https://www.boxofficemojo.com/year/2016/?ref_=bo_cso_table_21" xr:uid="{4EA4BC0E-C514-4A7B-9954-195200C8259D}"/>
    <hyperlink ref="D101" r:id="rId46" display="https://www.boxofficemojo.com/year/2012/?ref_=bo_cso_table_22" xr:uid="{76A5EAF3-006B-44C5-B792-3D0C81AC4636}"/>
    <hyperlink ref="D79" r:id="rId47" display="https://www.boxofficemojo.com/year/2002/?ref_=bo_cso_table_23" xr:uid="{E6029394-A917-4AA0-A09E-4EE2547AD946}"/>
    <hyperlink ref="D61" r:id="rId48" display="https://www.boxofficemojo.com/year/2017/?ref_=bo_cso_table_24" xr:uid="{0B3AA031-DC66-4CB7-86B4-2618AAD94C6C}"/>
    <hyperlink ref="D62" r:id="rId49" display="https://www.boxofficemojo.com/year/1993/?ref_=bo_cso_table_25" xr:uid="{1C2EC11A-5F87-4501-99BD-55553FADFD49}"/>
    <hyperlink ref="D121" r:id="rId50" display="https://www.boxofficemojo.com/year/2009/?ref_=bo_cso_table_26" xr:uid="{C0B9F8B3-CEB0-444B-A1BF-860E1FA4DA5F}"/>
    <hyperlink ref="D81" r:id="rId51" display="https://www.boxofficemojo.com/year/2019/?ref_=bo_cso_table_27" xr:uid="{F0FC8970-E705-44BA-A907-CCB9611C22EB}"/>
    <hyperlink ref="D47" r:id="rId52" display="https://www.boxofficemojo.com/year/2017/?ref_=bo_cso_table_28" xr:uid="{858EFF77-8A7B-4030-8214-A40A6FCDD6AF}"/>
    <hyperlink ref="D50" r:id="rId53" display="https://www.boxofficemojo.com/year/2011/?ref_=bo_cso_table_29" xr:uid="{24F8ABE9-0F72-4A42-A3E1-E770C94CF837}"/>
    <hyperlink ref="D84" r:id="rId54" display="https://www.boxofficemojo.com/year/2005/?ref_=bo_cso_table_30" xr:uid="{DBE13F49-2585-4460-B1D9-A76485E76C39}"/>
    <hyperlink ref="D107" r:id="rId55" display="https://www.boxofficemojo.com/year/2003/?ref_=bo_cso_table_31" xr:uid="{B178A6B6-3CBD-4A67-9236-B44119433E8B}"/>
    <hyperlink ref="D80" r:id="rId56" display="https://www.boxofficemojo.com/year/2004/?ref_=bo_cso_table_32" xr:uid="{2BBB9145-A775-44C4-83C4-F17C331F1D4B}"/>
    <hyperlink ref="D42" r:id="rId57" display="https://www.boxofficemojo.com/year/2015/?ref_=bo_cso_table_33" xr:uid="{2397E6A2-1840-40E4-B21B-9C35BAAA7D67}"/>
    <hyperlink ref="D120" r:id="rId58" display="https://www.boxofficemojo.com/year/2011/?ref_=bo_cso_table_34" xr:uid="{81009C82-4FA8-4929-B638-4BF11D2B3622}"/>
    <hyperlink ref="D108" r:id="rId59" display="https://www.boxofficemojo.com/year/2002/?ref_=bo_cso_table_35" xr:uid="{FD097F76-514B-488D-ABF3-23B7A5182EE1}"/>
    <hyperlink ref="D103" r:id="rId60" display="https://www.boxofficemojo.com/year/2014/?ref_=bo_cso_table_36" xr:uid="{DAD97FE4-0397-41D5-9376-B145ED44061C}"/>
    <hyperlink ref="D111" r:id="rId61" display="https://www.boxofficemojo.com/year/2004/?ref_=bo_cso_table_1" xr:uid="{2307F76D-BC13-448D-B7E0-4D94E784E331}"/>
    <hyperlink ref="D31" r:id="rId62" display="https://www.boxofficemojo.com/year/2016/?ref_=bo_cso_table_2" xr:uid="{C3B9E11D-0142-4B49-B333-B5C432896111}"/>
    <hyperlink ref="D16" r:id="rId63" display="https://www.boxofficemojo.com/year/2014/?ref_=bo_cso_table_3" xr:uid="{9F1D9FC0-0D3C-4F31-B46C-6C617FF55C7D}"/>
    <hyperlink ref="D60" r:id="rId64" display="https://www.boxofficemojo.com/year/2019/?ref_=bo_cso_table_4" xr:uid="{11BBF9D7-2361-4F16-9A9A-5FE16607065A}"/>
    <hyperlink ref="D56" r:id="rId65" display="https://www.boxofficemojo.com/year/2017/?ref_=bo_cso_table_5" xr:uid="{21AB9D2B-29CB-45FF-BCDE-EBE8F1595E09}"/>
    <hyperlink ref="D32" r:id="rId66" display="https://www.boxofficemojo.com/year/2018/?ref_=bo_cso_table_6" xr:uid="{CDEF72DC-A393-445B-8ACE-0C24AD326FA5}"/>
    <hyperlink ref="D110" r:id="rId67" display="https://www.boxofficemojo.com/year/2003/?ref_=bo_cso_table_7" xr:uid="{B9F29025-0304-492B-AD68-4131B147A433}"/>
    <hyperlink ref="D98" r:id="rId68" display="https://www.boxofficemojo.com/year/2009/?ref_=bo_cso_table_8" xr:uid="{15B4F609-7ABA-40A4-829C-519AE69651DD}"/>
    <hyperlink ref="D99" r:id="rId69" display="https://www.boxofficemojo.com/year/2011/?ref_=bo_cso_table_9" xr:uid="{2E4DE89B-AD3B-4FE8-96C4-FAEA107A72BF}"/>
    <hyperlink ref="D24" r:id="rId70" display="https://www.boxofficemojo.com/year/1984/?ref_=bo_cso_table_10" xr:uid="{D11E729E-4586-4C23-A0F2-62F0982E13EA}"/>
    <hyperlink ref="D65" r:id="rId71" display="https://www.boxofficemojo.com/year/2017/?ref_=bo_cso_table_12" xr:uid="{EACBB835-54C0-48BD-AF65-8B67C02161E0}"/>
    <hyperlink ref="D91" r:id="rId72" display="https://www.boxofficemojo.com/year/2012/?ref_=bo_cso_table_13" xr:uid="{AF609A7C-5312-4CDC-8A5B-DA2962C7A387}"/>
    <hyperlink ref="D75" r:id="rId73" display="https://www.boxofficemojo.com/year/1998/?ref_=bo_cso_table_14" xr:uid="{ECE2C6B9-5512-49F0-BB70-161C603B29FC}"/>
    <hyperlink ref="D11" r:id="rId74" display="https://www.boxofficemojo.com/year/2018/?ref_=bo_cso_table_15" xr:uid="{CCB49279-4395-4CEF-94CC-095E153EB3AD}"/>
    <hyperlink ref="D57" r:id="rId75" display="https://www.boxofficemojo.com/year/2019/?ref_=bo_cso_table_16" xr:uid="{1AA513BB-6147-4405-8615-3D99B584902B}"/>
    <hyperlink ref="D10" r:id="rId76" display="https://www.boxofficemojo.com/year/2007/?ref_=bo_cso_table_17" xr:uid="{DFA0E72C-6DAC-4BCE-A97E-4A72859A75DE}"/>
    <hyperlink ref="D125" r:id="rId77" display="https://www.boxofficemojo.com/year/2005/?ref_=bo_cso_table_18" xr:uid="{3494C9CC-5EE1-4F1F-B56F-5DE01D3E06FF}"/>
    <hyperlink ref="D92" r:id="rId78" display="https://www.boxofficemojo.com/year/1991/?ref_=bo_cso_table_19" xr:uid="{DA9F9ACA-D469-43D2-A06A-1D7030FB495E}"/>
    <hyperlink ref="D21" r:id="rId79" display="https://www.boxofficemojo.com/year/2020/?ref_=bo_cso_table_20" xr:uid="{F4C0605C-2A48-4F2C-8CDF-F3D5A58090BC}"/>
    <hyperlink ref="D9" r:id="rId80" display="https://www.boxofficemojo.com/year/2014/?ref_=bo_cso_table_21" xr:uid="{4DB93415-7779-4946-8A4F-0F2792C3741D}"/>
    <hyperlink ref="D44" r:id="rId81" display="https://www.boxofficemojo.com/year/2000/?ref_=bo_cso_table_22" xr:uid="{28B12753-7B42-474C-B27C-EFEA3448F1CD}"/>
    <hyperlink ref="D112" r:id="rId82" display="https://www.boxofficemojo.com/year/2015/?ref_=bo_cso_table_23" xr:uid="{8223E9CC-A840-4901-BA06-2B643033AD33}"/>
    <hyperlink ref="D71" r:id="rId83" display="https://www.boxofficemojo.com/year/1990/?ref_=bo_cso_table_24" xr:uid="{F9BE7C9A-FF95-4536-BE79-EE619B7D2D40}"/>
    <hyperlink ref="D114" r:id="rId84" display="https://www.boxofficemojo.com/year/1998/?ref_=bo_cso_table_25" xr:uid="{5DDD7293-EBEC-478F-840C-044FE0E0ACD9}"/>
    <hyperlink ref="D43" r:id="rId85" display="https://www.boxofficemojo.com/year/2017/?ref_=bo_cso_table_26" xr:uid="{18DAFCF1-25DC-4BBF-8B02-CB3B27EAAEE6}"/>
    <hyperlink ref="D123" r:id="rId86" display="https://www.boxofficemojo.com/year/2019/?ref_=bo_cso_table_27" xr:uid="{E3B125E8-F586-4D94-9657-32D17156BA55}"/>
    <hyperlink ref="D12" r:id="rId87" display="https://www.boxofficemojo.com/year/1997/?ref_=bo_cso_table_28" xr:uid="{96156668-FF31-470C-A7F5-6E3C7B1F83D9}"/>
    <hyperlink ref="D72" r:id="rId88" display="https://www.boxofficemojo.com/year/1988/?ref_=bo_cso_table_29" xr:uid="{63601A87-FAEB-4B8D-BB11-3C6A6C4AA2B6}"/>
    <hyperlink ref="D109" r:id="rId89" display="https://www.boxofficemojo.com/year/1999/?ref_=bo_cso_table_30" xr:uid="{55B3799F-56C0-438C-AEDC-08F094C16125}"/>
    <hyperlink ref="D59" r:id="rId90" display="https://www.boxofficemojo.com/year/2019/?ref_=bo_cso_table_31" xr:uid="{6CAE90C3-B7C3-44D6-B2C2-6B09841F9466}"/>
    <hyperlink ref="D26" r:id="rId91" display="https://www.boxofficemojo.com/year/2011/?ref_=bo_cso_table_32" xr:uid="{A21A84B2-8A52-490D-9006-6CA60B12BDC8}"/>
    <hyperlink ref="D45" r:id="rId92" display="https://www.boxofficemojo.com/year/2014/?ref_=bo_cso_table_33" xr:uid="{1AEE906C-BEA1-455A-9C02-36D668B5CF86}"/>
    <hyperlink ref="D37" r:id="rId93" display="https://www.boxofficemojo.com/year/2015/?ref_=bo_cso_table_34" xr:uid="{1FE1F7DC-3BEC-4E5A-9BDD-B7432BB326D9}"/>
    <hyperlink ref="D49" r:id="rId94" display="https://www.boxofficemojo.com/year/2001/?ref_=bo_cso_table_35" xr:uid="{6CC349D0-CFC2-475C-822B-5D9090D57698}"/>
    <hyperlink ref="D34" r:id="rId95" display="https://www.boxofficemojo.com/year/2012/?ref_=bo_cso_table_36" xr:uid="{FDB7C390-3B59-46D0-B9F5-9A0E41AC5685}"/>
    <hyperlink ref="D90" r:id="rId96" display="https://www.boxofficemojo.com/year/2015/?ref_=bo_cso_table_37" xr:uid="{2047B90D-660E-4F8F-B021-8353F3B7463D}"/>
    <hyperlink ref="D100" r:id="rId97" display="https://www.boxofficemojo.com/year/2013/?ref_=bo_cso_table_38" xr:uid="{07A938D3-DE78-4FA2-8A49-D97392490EEA}"/>
    <hyperlink ref="D48" r:id="rId98" display="https://www.boxofficemojo.com/year/2018/?ref_=bo_cso_table_39" xr:uid="{7D0C819B-843D-478B-854A-5BEB378F3CA8}"/>
    <hyperlink ref="D8" r:id="rId99" display="https://www.boxofficemojo.com/year/2019/?ref_=bo_cso_table_40" xr:uid="{E118BED0-3F13-45A5-9E69-3C529532D33E}"/>
    <hyperlink ref="D97" r:id="rId100" display="https://www.boxofficemojo.com/year/1993/?ref_=bo_cso_table_41" xr:uid="{2B6556AB-ACA9-4417-B6BF-64BDD123860E}"/>
    <hyperlink ref="D76" r:id="rId101" display="https://www.boxofficemojo.com/year/2000/?ref_=bo_cso_table_42" xr:uid="{BF7DE700-3D37-47A0-8B15-45FF52806926}"/>
    <hyperlink ref="D36" r:id="rId102" display="https://www.boxofficemojo.com/year/1987/?ref_=bo_cso_table_43" xr:uid="{9CDBD30F-CFD9-451B-A0BB-4FD61037FBD6}"/>
    <hyperlink ref="D66" r:id="rId103" display="https://www.boxofficemojo.com/year/2015/?ref_=bo_cso_table_44" xr:uid="{A2C2D49C-939F-4812-82F4-6C2E02212820}"/>
    <hyperlink ref="D58" r:id="rId104" display="https://www.boxofficemojo.com/year/1996/?ref_=bo_cso_table_45" xr:uid="{A450E290-83A1-4AD9-B955-419A2531BC45}"/>
  </hyperlinks>
  <pageMargins left="0.7" right="0.7" top="0.75" bottom="0.75" header="0.3" footer="0.3"/>
  <drawing r:id="rId105"/>
  <tableParts count="1">
    <tablePart r:id="rId10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B144-A3E3-4819-A9CC-803F0F4A5D7C}">
  <dimension ref="A1"/>
  <sheetViews>
    <sheetView workbookViewId="0">
      <selection activeCell="C12" sqref="C12"/>
    </sheetView>
  </sheetViews>
  <sheetFormatPr defaultRowHeight="14.25" x14ac:dyDescent="0.4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9A326-E483-4718-957B-4551287F0107}">
  <dimension ref="A1"/>
  <sheetViews>
    <sheetView workbookViewId="0">
      <selection activeCell="A3" sqref="A3"/>
    </sheetView>
  </sheetViews>
  <sheetFormatPr defaultRowHeight="14.25" x14ac:dyDescent="0.4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11F7C-8730-43CC-B537-1ABD7574B7BE}">
  <dimension ref="A3:C20"/>
  <sheetViews>
    <sheetView workbookViewId="0">
      <selection activeCell="A5" sqref="A5"/>
    </sheetView>
  </sheetViews>
  <sheetFormatPr defaultRowHeight="14.25" x14ac:dyDescent="0.45"/>
  <sheetData>
    <row r="3" spans="1:3" x14ac:dyDescent="0.45">
      <c r="A3" s="15"/>
      <c r="B3" s="16"/>
      <c r="C3" s="17"/>
    </row>
    <row r="4" spans="1:3" x14ac:dyDescent="0.45">
      <c r="A4" s="18"/>
      <c r="B4" s="19"/>
      <c r="C4" s="20"/>
    </row>
    <row r="5" spans="1:3" x14ac:dyDescent="0.45">
      <c r="A5" s="18"/>
      <c r="B5" s="19"/>
      <c r="C5" s="20"/>
    </row>
    <row r="6" spans="1:3" x14ac:dyDescent="0.45">
      <c r="A6" s="18"/>
      <c r="B6" s="19"/>
      <c r="C6" s="20"/>
    </row>
    <row r="7" spans="1:3" x14ac:dyDescent="0.45">
      <c r="A7" s="18"/>
      <c r="B7" s="19"/>
      <c r="C7" s="20"/>
    </row>
    <row r="8" spans="1:3" x14ac:dyDescent="0.45">
      <c r="A8" s="18"/>
      <c r="B8" s="19"/>
      <c r="C8" s="20"/>
    </row>
    <row r="9" spans="1:3" x14ac:dyDescent="0.45">
      <c r="A9" s="18"/>
      <c r="B9" s="19"/>
      <c r="C9" s="20"/>
    </row>
    <row r="10" spans="1:3" x14ac:dyDescent="0.45">
      <c r="A10" s="18"/>
      <c r="B10" s="19"/>
      <c r="C10" s="20"/>
    </row>
    <row r="11" spans="1:3" x14ac:dyDescent="0.45">
      <c r="A11" s="18"/>
      <c r="B11" s="19"/>
      <c r="C11" s="20"/>
    </row>
    <row r="12" spans="1:3" x14ac:dyDescent="0.45">
      <c r="A12" s="18"/>
      <c r="B12" s="19"/>
      <c r="C12" s="20"/>
    </row>
    <row r="13" spans="1:3" x14ac:dyDescent="0.45">
      <c r="A13" s="18"/>
      <c r="B13" s="19"/>
      <c r="C13" s="20"/>
    </row>
    <row r="14" spans="1:3" x14ac:dyDescent="0.45">
      <c r="A14" s="18"/>
      <c r="B14" s="19"/>
      <c r="C14" s="20"/>
    </row>
    <row r="15" spans="1:3" x14ac:dyDescent="0.45">
      <c r="A15" s="18"/>
      <c r="B15" s="19"/>
      <c r="C15" s="20"/>
    </row>
    <row r="16" spans="1:3" x14ac:dyDescent="0.45">
      <c r="A16" s="18"/>
      <c r="B16" s="19"/>
      <c r="C16" s="20"/>
    </row>
    <row r="17" spans="1:3" x14ac:dyDescent="0.45">
      <c r="A17" s="18"/>
      <c r="B17" s="19"/>
      <c r="C17" s="20"/>
    </row>
    <row r="18" spans="1:3" x14ac:dyDescent="0.45">
      <c r="A18" s="18"/>
      <c r="B18" s="19"/>
      <c r="C18" s="20"/>
    </row>
    <row r="19" spans="1:3" x14ac:dyDescent="0.45">
      <c r="A19" s="18"/>
      <c r="B19" s="19"/>
      <c r="C19" s="20"/>
    </row>
    <row r="20" spans="1:3" x14ac:dyDescent="0.45">
      <c r="A20" s="21"/>
      <c r="B20" s="22"/>
      <c r="C20" s="2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0E588-4217-4DE5-8A0D-4E858D2F2BF6}">
  <dimension ref="A3:C7"/>
  <sheetViews>
    <sheetView tabSelected="1" workbookViewId="0">
      <selection activeCell="D24" sqref="D24"/>
    </sheetView>
  </sheetViews>
  <sheetFormatPr defaultRowHeight="14.25" x14ac:dyDescent="0.45"/>
  <cols>
    <col min="1" max="1" width="13.796875" bestFit="1" customWidth="1"/>
    <col min="2" max="2" width="12.59765625" bestFit="1" customWidth="1"/>
    <col min="3" max="3" width="16.73046875" bestFit="1" customWidth="1"/>
  </cols>
  <sheetData>
    <row r="3" spans="1:3" x14ac:dyDescent="0.45">
      <c r="A3" s="24" t="s">
        <v>867</v>
      </c>
      <c r="B3" t="s">
        <v>869</v>
      </c>
      <c r="C3" t="s">
        <v>870</v>
      </c>
    </row>
    <row r="4" spans="1:3" x14ac:dyDescent="0.45">
      <c r="A4" s="25" t="s">
        <v>855</v>
      </c>
      <c r="B4" s="26">
        <v>22563.760999999984</v>
      </c>
      <c r="C4" s="26">
        <v>88.485337254901893</v>
      </c>
    </row>
    <row r="5" spans="1:3" x14ac:dyDescent="0.45">
      <c r="A5" s="25" t="s">
        <v>857</v>
      </c>
      <c r="B5" s="26">
        <v>17829.140999999996</v>
      </c>
      <c r="C5" s="26">
        <v>71.316563999999985</v>
      </c>
    </row>
    <row r="6" spans="1:3" x14ac:dyDescent="0.45">
      <c r="A6" s="25" t="s">
        <v>859</v>
      </c>
      <c r="B6" s="26">
        <v>31044.056999999979</v>
      </c>
      <c r="C6" s="26">
        <v>95.520175384615314</v>
      </c>
    </row>
    <row r="7" spans="1:3" x14ac:dyDescent="0.45">
      <c r="A7" s="25" t="s">
        <v>868</v>
      </c>
      <c r="B7" s="26">
        <v>71436.958999999988</v>
      </c>
      <c r="C7" s="26">
        <v>86.068625301204804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62AF-05FB-4E76-A12F-33DE48428D04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0408-9064-488B-BCEA-C28525B0A881}">
  <dimension ref="A1:H840"/>
  <sheetViews>
    <sheetView workbookViewId="0">
      <selection activeCell="K25" sqref="K25"/>
    </sheetView>
  </sheetViews>
  <sheetFormatPr defaultRowHeight="14.25" x14ac:dyDescent="0.45"/>
  <cols>
    <col min="1" max="1" width="9.86328125" bestFit="1" customWidth="1"/>
    <col min="2" max="2" width="29" bestFit="1" customWidth="1"/>
    <col min="3" max="3" width="15.59765625" bestFit="1" customWidth="1"/>
    <col min="4" max="4" width="11.86328125" bestFit="1" customWidth="1"/>
    <col min="5" max="5" width="13.73046875" bestFit="1" customWidth="1"/>
    <col min="6" max="6" width="13.59765625" bestFit="1" customWidth="1"/>
    <col min="7" max="7" width="9.86328125" bestFit="1" customWidth="1"/>
    <col min="8" max="8" width="13.265625" bestFit="1" customWidth="1"/>
  </cols>
  <sheetData>
    <row r="1" spans="1:8" ht="23.25" x14ac:dyDescent="0.7">
      <c r="B1" s="27" t="s">
        <v>845</v>
      </c>
      <c r="C1" s="27"/>
      <c r="D1" s="27"/>
      <c r="E1" s="27"/>
      <c r="F1" s="27"/>
      <c r="G1" s="27"/>
    </row>
    <row r="9" spans="1:8" x14ac:dyDescent="0.45">
      <c r="A9" t="s">
        <v>846</v>
      </c>
      <c r="B9" t="s">
        <v>847</v>
      </c>
      <c r="C9" t="s">
        <v>848</v>
      </c>
      <c r="D9" t="s">
        <v>849</v>
      </c>
      <c r="E9" t="s">
        <v>850</v>
      </c>
      <c r="F9" t="s">
        <v>851</v>
      </c>
      <c r="G9" t="s">
        <v>852</v>
      </c>
      <c r="H9" t="s">
        <v>853</v>
      </c>
    </row>
    <row r="10" spans="1:8" x14ac:dyDescent="0.45">
      <c r="A10">
        <v>10248</v>
      </c>
      <c r="B10" t="s">
        <v>636</v>
      </c>
      <c r="C10" t="s">
        <v>854</v>
      </c>
      <c r="D10" s="14">
        <v>35250</v>
      </c>
      <c r="E10" s="14">
        <v>35262</v>
      </c>
      <c r="F10" t="s">
        <v>855</v>
      </c>
      <c r="G10" s="10">
        <v>35.618000000000002</v>
      </c>
      <c r="H10" t="s">
        <v>52</v>
      </c>
    </row>
    <row r="11" spans="1:8" x14ac:dyDescent="0.45">
      <c r="A11">
        <v>10249</v>
      </c>
      <c r="B11" t="s">
        <v>573</v>
      </c>
      <c r="C11" t="s">
        <v>856</v>
      </c>
      <c r="D11" s="14">
        <v>35251</v>
      </c>
      <c r="E11" s="14">
        <v>35256</v>
      </c>
      <c r="F11" t="s">
        <v>857</v>
      </c>
      <c r="G11" s="10">
        <v>12.771000000000001</v>
      </c>
      <c r="H11" t="s">
        <v>7</v>
      </c>
    </row>
    <row r="12" spans="1:8" x14ac:dyDescent="0.45">
      <c r="A12">
        <v>10250</v>
      </c>
      <c r="B12" t="s">
        <v>243</v>
      </c>
      <c r="C12" t="s">
        <v>858</v>
      </c>
      <c r="D12" s="14">
        <v>35254</v>
      </c>
      <c r="E12" s="14">
        <v>35258</v>
      </c>
      <c r="F12" t="s">
        <v>859</v>
      </c>
      <c r="G12" s="10">
        <v>72.412999999999997</v>
      </c>
      <c r="H12" t="s">
        <v>113</v>
      </c>
    </row>
    <row r="13" spans="1:8" x14ac:dyDescent="0.45">
      <c r="A13">
        <v>10251</v>
      </c>
      <c r="B13" t="s">
        <v>593</v>
      </c>
      <c r="C13" t="s">
        <v>860</v>
      </c>
      <c r="D13" s="14">
        <v>35254</v>
      </c>
      <c r="E13" s="14">
        <v>35261</v>
      </c>
      <c r="F13" t="s">
        <v>857</v>
      </c>
      <c r="G13" s="10">
        <v>45.473999999999997</v>
      </c>
      <c r="H13" t="s">
        <v>52</v>
      </c>
    </row>
    <row r="14" spans="1:8" x14ac:dyDescent="0.45">
      <c r="A14">
        <v>10252</v>
      </c>
      <c r="B14" t="s">
        <v>540</v>
      </c>
      <c r="C14" t="s">
        <v>858</v>
      </c>
      <c r="D14" s="14">
        <v>35255</v>
      </c>
      <c r="E14" s="14">
        <v>35257</v>
      </c>
      <c r="F14" t="s">
        <v>859</v>
      </c>
      <c r="G14" s="10">
        <v>56.43</v>
      </c>
      <c r="H14" t="s">
        <v>368</v>
      </c>
    </row>
    <row r="15" spans="1:8" x14ac:dyDescent="0.45">
      <c r="A15">
        <v>10253</v>
      </c>
      <c r="B15" t="s">
        <v>243</v>
      </c>
      <c r="C15" t="s">
        <v>860</v>
      </c>
      <c r="D15" s="14">
        <v>35256</v>
      </c>
      <c r="E15" s="14">
        <v>35262</v>
      </c>
      <c r="F15" t="s">
        <v>859</v>
      </c>
      <c r="G15" s="10">
        <v>63.987000000000002</v>
      </c>
      <c r="H15" t="s">
        <v>113</v>
      </c>
    </row>
    <row r="16" spans="1:8" x14ac:dyDescent="0.45">
      <c r="A16">
        <v>10254</v>
      </c>
      <c r="B16" t="s">
        <v>99</v>
      </c>
      <c r="C16" t="s">
        <v>854</v>
      </c>
      <c r="D16" s="14">
        <v>35257</v>
      </c>
      <c r="E16" s="14">
        <v>35269</v>
      </c>
      <c r="F16" t="s">
        <v>857</v>
      </c>
      <c r="G16" s="10">
        <v>25.277999999999999</v>
      </c>
      <c r="H16" t="s">
        <v>104</v>
      </c>
    </row>
    <row r="17" spans="1:8" x14ac:dyDescent="0.45">
      <c r="A17">
        <v>10255</v>
      </c>
      <c r="B17" t="s">
        <v>483</v>
      </c>
      <c r="C17" t="s">
        <v>861</v>
      </c>
      <c r="D17" s="14">
        <v>35258</v>
      </c>
      <c r="E17" s="14">
        <v>35261</v>
      </c>
      <c r="F17" t="s">
        <v>855</v>
      </c>
      <c r="G17" s="10">
        <v>163.16300000000001</v>
      </c>
      <c r="H17" t="s">
        <v>104</v>
      </c>
    </row>
    <row r="18" spans="1:8" x14ac:dyDescent="0.45">
      <c r="A18">
        <v>10256</v>
      </c>
      <c r="B18" t="s">
        <v>622</v>
      </c>
      <c r="C18" t="s">
        <v>860</v>
      </c>
      <c r="D18" s="14">
        <v>35261</v>
      </c>
      <c r="E18" s="14">
        <v>35263</v>
      </c>
      <c r="F18" t="s">
        <v>859</v>
      </c>
      <c r="G18" s="10">
        <v>15.367000000000001</v>
      </c>
      <c r="H18" t="s">
        <v>113</v>
      </c>
    </row>
    <row r="19" spans="1:8" x14ac:dyDescent="0.45">
      <c r="A19">
        <v>10257</v>
      </c>
      <c r="B19" t="s">
        <v>251</v>
      </c>
      <c r="C19" t="s">
        <v>858</v>
      </c>
      <c r="D19" s="14">
        <v>35262</v>
      </c>
      <c r="E19" s="14">
        <v>35268</v>
      </c>
      <c r="F19" t="s">
        <v>855</v>
      </c>
      <c r="G19" s="10">
        <v>90.100999999999999</v>
      </c>
      <c r="H19" t="s">
        <v>240</v>
      </c>
    </row>
    <row r="20" spans="1:8" x14ac:dyDescent="0.45">
      <c r="A20">
        <v>10258</v>
      </c>
      <c r="B20" t="s">
        <v>142</v>
      </c>
      <c r="C20" t="s">
        <v>862</v>
      </c>
      <c r="D20" s="14">
        <v>35263</v>
      </c>
      <c r="E20" s="14">
        <v>35269</v>
      </c>
      <c r="F20" t="s">
        <v>857</v>
      </c>
      <c r="G20" s="10">
        <v>154.56100000000001</v>
      </c>
      <c r="H20" t="s">
        <v>147</v>
      </c>
    </row>
    <row r="21" spans="1:8" x14ac:dyDescent="0.45">
      <c r="A21">
        <v>10259</v>
      </c>
      <c r="B21" t="s">
        <v>93</v>
      </c>
      <c r="C21" t="s">
        <v>858</v>
      </c>
      <c r="D21" s="14">
        <v>35264</v>
      </c>
      <c r="E21" s="14">
        <v>35271</v>
      </c>
      <c r="F21" t="s">
        <v>855</v>
      </c>
      <c r="G21" s="10">
        <v>3.5750000000000002</v>
      </c>
      <c r="H21" t="s">
        <v>15</v>
      </c>
    </row>
    <row r="22" spans="1:8" x14ac:dyDescent="0.45">
      <c r="A22">
        <v>10260</v>
      </c>
      <c r="B22" t="s">
        <v>397</v>
      </c>
      <c r="C22" t="s">
        <v>858</v>
      </c>
      <c r="D22" s="14">
        <v>35265</v>
      </c>
      <c r="E22" s="14">
        <v>35275</v>
      </c>
      <c r="F22" t="s">
        <v>857</v>
      </c>
      <c r="G22" s="10">
        <v>60.598999999999997</v>
      </c>
      <c r="H22" t="s">
        <v>7</v>
      </c>
    </row>
    <row r="23" spans="1:8" x14ac:dyDescent="0.45">
      <c r="A23">
        <v>10261</v>
      </c>
      <c r="B23" t="s">
        <v>438</v>
      </c>
      <c r="C23" t="s">
        <v>858</v>
      </c>
      <c r="D23" s="14">
        <v>35265</v>
      </c>
      <c r="E23" s="14">
        <v>35276</v>
      </c>
      <c r="F23" t="s">
        <v>859</v>
      </c>
      <c r="G23" s="10">
        <v>3.355</v>
      </c>
      <c r="H23" t="s">
        <v>113</v>
      </c>
    </row>
    <row r="24" spans="1:8" x14ac:dyDescent="0.45">
      <c r="A24">
        <v>10262</v>
      </c>
      <c r="B24" t="s">
        <v>462</v>
      </c>
      <c r="C24" t="s">
        <v>863</v>
      </c>
      <c r="D24" s="14">
        <v>35268</v>
      </c>
      <c r="E24" s="14">
        <v>35271</v>
      </c>
      <c r="F24" t="s">
        <v>855</v>
      </c>
      <c r="G24" s="10">
        <v>53.119</v>
      </c>
      <c r="H24" t="s">
        <v>231</v>
      </c>
    </row>
    <row r="25" spans="1:8" x14ac:dyDescent="0.45">
      <c r="A25">
        <v>10263</v>
      </c>
      <c r="B25" t="s">
        <v>142</v>
      </c>
      <c r="C25" t="s">
        <v>861</v>
      </c>
      <c r="D25" s="14">
        <v>35269</v>
      </c>
      <c r="E25" s="14">
        <v>35277</v>
      </c>
      <c r="F25" t="s">
        <v>855</v>
      </c>
      <c r="G25" s="10">
        <v>160.666</v>
      </c>
      <c r="H25" t="s">
        <v>147</v>
      </c>
    </row>
    <row r="26" spans="1:8" x14ac:dyDescent="0.45">
      <c r="A26">
        <v>10264</v>
      </c>
      <c r="B26" t="s">
        <v>169</v>
      </c>
      <c r="C26" t="s">
        <v>856</v>
      </c>
      <c r="D26" s="14">
        <v>35270</v>
      </c>
      <c r="E26" s="14">
        <v>35300</v>
      </c>
      <c r="F26" t="s">
        <v>855</v>
      </c>
      <c r="G26" s="10">
        <v>4.0369999999999999</v>
      </c>
      <c r="H26" t="s">
        <v>37</v>
      </c>
    </row>
    <row r="27" spans="1:8" x14ac:dyDescent="0.45">
      <c r="A27">
        <v>10265</v>
      </c>
      <c r="B27" t="s">
        <v>47</v>
      </c>
      <c r="C27" t="s">
        <v>864</v>
      </c>
      <c r="D27" s="14">
        <v>35271</v>
      </c>
      <c r="E27" s="14">
        <v>35289</v>
      </c>
      <c r="F27" t="s">
        <v>857</v>
      </c>
      <c r="G27" s="10">
        <v>60.808</v>
      </c>
      <c r="H27" t="s">
        <v>52</v>
      </c>
    </row>
    <row r="28" spans="1:8" x14ac:dyDescent="0.45">
      <c r="A28">
        <v>10266</v>
      </c>
      <c r="B28" t="s">
        <v>614</v>
      </c>
      <c r="C28" t="s">
        <v>860</v>
      </c>
      <c r="D28" s="14">
        <v>35272</v>
      </c>
      <c r="E28" s="14">
        <v>35277</v>
      </c>
      <c r="F28" t="s">
        <v>855</v>
      </c>
      <c r="G28" s="10">
        <v>28.303000000000001</v>
      </c>
      <c r="H28" t="s">
        <v>619</v>
      </c>
    </row>
    <row r="29" spans="1:8" x14ac:dyDescent="0.45">
      <c r="A29">
        <v>10267</v>
      </c>
      <c r="B29" t="s">
        <v>176</v>
      </c>
      <c r="C29" t="s">
        <v>858</v>
      </c>
      <c r="D29" s="14">
        <v>35275</v>
      </c>
      <c r="E29" s="14">
        <v>35283</v>
      </c>
      <c r="F29" t="s">
        <v>857</v>
      </c>
      <c r="G29" s="10">
        <v>229.43799999999999</v>
      </c>
      <c r="H29" t="s">
        <v>7</v>
      </c>
    </row>
    <row r="30" spans="1:8" x14ac:dyDescent="0.45">
      <c r="A30">
        <v>10268</v>
      </c>
      <c r="B30" t="s">
        <v>234</v>
      </c>
      <c r="C30" t="s">
        <v>863</v>
      </c>
      <c r="D30" s="14">
        <v>35276</v>
      </c>
      <c r="E30" s="14">
        <v>35279</v>
      </c>
      <c r="F30" t="s">
        <v>855</v>
      </c>
      <c r="G30" s="10">
        <v>72.918999999999997</v>
      </c>
      <c r="H30" t="s">
        <v>240</v>
      </c>
    </row>
    <row r="31" spans="1:8" x14ac:dyDescent="0.45">
      <c r="A31">
        <v>10269</v>
      </c>
      <c r="B31" t="s">
        <v>629</v>
      </c>
      <c r="C31" t="s">
        <v>854</v>
      </c>
      <c r="D31" s="14">
        <v>35277</v>
      </c>
      <c r="E31" s="14">
        <v>35286</v>
      </c>
      <c r="F31" t="s">
        <v>857</v>
      </c>
      <c r="G31" s="10">
        <v>5.016</v>
      </c>
      <c r="H31" t="s">
        <v>231</v>
      </c>
    </row>
    <row r="32" spans="1:8" x14ac:dyDescent="0.45">
      <c r="A32">
        <v>10270</v>
      </c>
      <c r="B32" t="s">
        <v>614</v>
      </c>
      <c r="C32" t="s">
        <v>862</v>
      </c>
      <c r="D32" s="14">
        <v>35278</v>
      </c>
      <c r="E32" s="14">
        <v>35279</v>
      </c>
      <c r="F32" t="s">
        <v>857</v>
      </c>
      <c r="G32" s="10">
        <v>150.19399999999999</v>
      </c>
      <c r="H32" t="s">
        <v>619</v>
      </c>
    </row>
    <row r="33" spans="1:8" x14ac:dyDescent="0.45">
      <c r="A33">
        <v>10271</v>
      </c>
      <c r="B33" t="s">
        <v>532</v>
      </c>
      <c r="C33" t="s">
        <v>856</v>
      </c>
      <c r="D33" s="14">
        <v>35278</v>
      </c>
      <c r="E33" s="14">
        <v>35307</v>
      </c>
      <c r="F33" t="s">
        <v>859</v>
      </c>
      <c r="G33" s="10">
        <v>4.9939999999999998</v>
      </c>
      <c r="H33" t="s">
        <v>231</v>
      </c>
    </row>
    <row r="34" spans="1:8" x14ac:dyDescent="0.45">
      <c r="A34">
        <v>10272</v>
      </c>
      <c r="B34" t="s">
        <v>462</v>
      </c>
      <c r="C34" t="s">
        <v>856</v>
      </c>
      <c r="D34" s="14">
        <v>35279</v>
      </c>
      <c r="E34" s="14">
        <v>35283</v>
      </c>
      <c r="F34" t="s">
        <v>859</v>
      </c>
      <c r="G34" s="10">
        <v>107.833</v>
      </c>
      <c r="H34" t="s">
        <v>231</v>
      </c>
    </row>
    <row r="35" spans="1:8" x14ac:dyDescent="0.45">
      <c r="A35">
        <v>10273</v>
      </c>
      <c r="B35" t="s">
        <v>450</v>
      </c>
      <c r="C35" t="s">
        <v>860</v>
      </c>
      <c r="D35" s="14">
        <v>35282</v>
      </c>
      <c r="E35" s="14">
        <v>35289</v>
      </c>
      <c r="F35" t="s">
        <v>855</v>
      </c>
      <c r="G35" s="10">
        <v>83.677000000000007</v>
      </c>
      <c r="H35" t="s">
        <v>7</v>
      </c>
    </row>
    <row r="36" spans="1:8" x14ac:dyDescent="0.45">
      <c r="A36">
        <v>10274</v>
      </c>
      <c r="B36" t="s">
        <v>600</v>
      </c>
      <c r="C36" t="s">
        <v>856</v>
      </c>
      <c r="D36" s="14">
        <v>35283</v>
      </c>
      <c r="E36" s="14">
        <v>35293</v>
      </c>
      <c r="F36" t="s">
        <v>857</v>
      </c>
      <c r="G36" s="10">
        <v>6.6109999999999998</v>
      </c>
      <c r="H36" t="s">
        <v>52</v>
      </c>
    </row>
    <row r="37" spans="1:8" x14ac:dyDescent="0.45">
      <c r="A37">
        <v>10275</v>
      </c>
      <c r="B37" t="s">
        <v>356</v>
      </c>
      <c r="C37" t="s">
        <v>862</v>
      </c>
      <c r="D37" s="14">
        <v>35284</v>
      </c>
      <c r="E37" s="14">
        <v>35286</v>
      </c>
      <c r="F37" t="s">
        <v>857</v>
      </c>
      <c r="G37" s="10">
        <v>29.623000000000001</v>
      </c>
      <c r="H37" t="s">
        <v>193</v>
      </c>
    </row>
    <row r="38" spans="1:8" x14ac:dyDescent="0.45">
      <c r="A38">
        <v>10276</v>
      </c>
      <c r="B38" t="s">
        <v>568</v>
      </c>
      <c r="C38" t="s">
        <v>863</v>
      </c>
      <c r="D38" s="14">
        <v>35285</v>
      </c>
      <c r="E38" s="14">
        <v>35291</v>
      </c>
      <c r="F38" t="s">
        <v>855</v>
      </c>
      <c r="G38" s="10">
        <v>15.224</v>
      </c>
      <c r="H38" t="s">
        <v>15</v>
      </c>
    </row>
    <row r="39" spans="1:8" x14ac:dyDescent="0.45">
      <c r="A39">
        <v>10277</v>
      </c>
      <c r="B39" t="s">
        <v>379</v>
      </c>
      <c r="C39" t="s">
        <v>864</v>
      </c>
      <c r="D39" s="14">
        <v>35286</v>
      </c>
      <c r="E39" s="14">
        <v>35290</v>
      </c>
      <c r="F39" t="s">
        <v>855</v>
      </c>
      <c r="G39" s="10">
        <v>138.34700000000001</v>
      </c>
      <c r="H39" t="s">
        <v>7</v>
      </c>
    </row>
    <row r="40" spans="1:8" x14ac:dyDescent="0.45">
      <c r="A40">
        <v>10278</v>
      </c>
      <c r="B40" t="s">
        <v>32</v>
      </c>
      <c r="C40" t="s">
        <v>863</v>
      </c>
      <c r="D40" s="14">
        <v>35289</v>
      </c>
      <c r="E40" s="14">
        <v>35293</v>
      </c>
      <c r="F40" t="s">
        <v>859</v>
      </c>
      <c r="G40" s="10">
        <v>101.959</v>
      </c>
      <c r="H40" t="s">
        <v>37</v>
      </c>
    </row>
    <row r="41" spans="1:8" x14ac:dyDescent="0.45">
      <c r="A41">
        <v>10279</v>
      </c>
      <c r="B41" t="s">
        <v>318</v>
      </c>
      <c r="C41" t="s">
        <v>863</v>
      </c>
      <c r="D41" s="14">
        <v>35290</v>
      </c>
      <c r="E41" s="14">
        <v>35293</v>
      </c>
      <c r="F41" t="s">
        <v>859</v>
      </c>
      <c r="G41" s="10">
        <v>28.413</v>
      </c>
      <c r="H41" t="s">
        <v>7</v>
      </c>
    </row>
    <row r="42" spans="1:8" x14ac:dyDescent="0.45">
      <c r="A42">
        <v>10280</v>
      </c>
      <c r="B42" t="s">
        <v>32</v>
      </c>
      <c r="C42" t="s">
        <v>864</v>
      </c>
      <c r="D42" s="14">
        <v>35291</v>
      </c>
      <c r="E42" s="14">
        <v>35320</v>
      </c>
      <c r="F42" t="s">
        <v>857</v>
      </c>
      <c r="G42" s="10">
        <v>9.8780000000000001</v>
      </c>
      <c r="H42" t="s">
        <v>37</v>
      </c>
    </row>
    <row r="43" spans="1:8" x14ac:dyDescent="0.45">
      <c r="A43">
        <v>10281</v>
      </c>
      <c r="B43" t="s">
        <v>490</v>
      </c>
      <c r="C43" t="s">
        <v>858</v>
      </c>
      <c r="D43" s="14">
        <v>35291</v>
      </c>
      <c r="E43" s="14">
        <v>35298</v>
      </c>
      <c r="F43" t="s">
        <v>857</v>
      </c>
      <c r="G43" s="10">
        <v>3.234</v>
      </c>
      <c r="H43" t="s">
        <v>60</v>
      </c>
    </row>
    <row r="44" spans="1:8" x14ac:dyDescent="0.45">
      <c r="A44">
        <v>10282</v>
      </c>
      <c r="B44" t="s">
        <v>490</v>
      </c>
      <c r="C44" t="s">
        <v>858</v>
      </c>
      <c r="D44" s="14">
        <v>35292</v>
      </c>
      <c r="E44" s="14">
        <v>35298</v>
      </c>
      <c r="F44" t="s">
        <v>857</v>
      </c>
      <c r="G44" s="10">
        <v>13.959</v>
      </c>
      <c r="H44" t="s">
        <v>60</v>
      </c>
    </row>
    <row r="45" spans="1:8" x14ac:dyDescent="0.45">
      <c r="A45">
        <v>10283</v>
      </c>
      <c r="B45" t="s">
        <v>333</v>
      </c>
      <c r="C45" t="s">
        <v>860</v>
      </c>
      <c r="D45" s="14">
        <v>35293</v>
      </c>
      <c r="E45" s="14">
        <v>35300</v>
      </c>
      <c r="F45" t="s">
        <v>855</v>
      </c>
      <c r="G45" s="10">
        <v>93.290999999999997</v>
      </c>
      <c r="H45" t="s">
        <v>240</v>
      </c>
    </row>
    <row r="46" spans="1:8" x14ac:dyDescent="0.45">
      <c r="A46">
        <v>10284</v>
      </c>
      <c r="B46" t="s">
        <v>318</v>
      </c>
      <c r="C46" t="s">
        <v>858</v>
      </c>
      <c r="D46" s="14">
        <v>35296</v>
      </c>
      <c r="E46" s="14">
        <v>35304</v>
      </c>
      <c r="F46" t="s">
        <v>857</v>
      </c>
      <c r="G46" s="10">
        <v>84.215999999999994</v>
      </c>
      <c r="H46" t="s">
        <v>7</v>
      </c>
    </row>
    <row r="47" spans="1:8" x14ac:dyDescent="0.45">
      <c r="A47">
        <v>10285</v>
      </c>
      <c r="B47" t="s">
        <v>450</v>
      </c>
      <c r="C47" t="s">
        <v>862</v>
      </c>
      <c r="D47" s="14">
        <v>35297</v>
      </c>
      <c r="E47" s="14">
        <v>35303</v>
      </c>
      <c r="F47" t="s">
        <v>859</v>
      </c>
      <c r="G47" s="10">
        <v>84.513000000000005</v>
      </c>
      <c r="H47" t="s">
        <v>7</v>
      </c>
    </row>
    <row r="48" spans="1:8" x14ac:dyDescent="0.45">
      <c r="A48">
        <v>10286</v>
      </c>
      <c r="B48" t="s">
        <v>450</v>
      </c>
      <c r="C48" t="s">
        <v>863</v>
      </c>
      <c r="D48" s="14">
        <v>35298</v>
      </c>
      <c r="E48" s="14">
        <v>35307</v>
      </c>
      <c r="F48" t="s">
        <v>855</v>
      </c>
      <c r="G48" s="10">
        <v>252.16399999999999</v>
      </c>
      <c r="H48" t="s">
        <v>7</v>
      </c>
    </row>
    <row r="49" spans="1:8" x14ac:dyDescent="0.45">
      <c r="A49">
        <v>10287</v>
      </c>
      <c r="B49" t="s">
        <v>477</v>
      </c>
      <c r="C49" t="s">
        <v>863</v>
      </c>
      <c r="D49" s="14">
        <v>35299</v>
      </c>
      <c r="E49" s="14">
        <v>35305</v>
      </c>
      <c r="F49" t="s">
        <v>855</v>
      </c>
      <c r="G49" s="10">
        <v>14.036</v>
      </c>
      <c r="H49" t="s">
        <v>113</v>
      </c>
    </row>
    <row r="50" spans="1:8" x14ac:dyDescent="0.45">
      <c r="A50">
        <v>10288</v>
      </c>
      <c r="B50" t="s">
        <v>470</v>
      </c>
      <c r="C50" t="s">
        <v>858</v>
      </c>
      <c r="D50" s="14">
        <v>35300</v>
      </c>
      <c r="E50" s="14">
        <v>35311</v>
      </c>
      <c r="F50" t="s">
        <v>857</v>
      </c>
      <c r="G50" s="10">
        <v>8.1950000000000003</v>
      </c>
      <c r="H50" t="s">
        <v>193</v>
      </c>
    </row>
    <row r="51" spans="1:8" x14ac:dyDescent="0.45">
      <c r="A51">
        <v>10289</v>
      </c>
      <c r="B51" t="s">
        <v>79</v>
      </c>
      <c r="C51" t="s">
        <v>865</v>
      </c>
      <c r="D51" s="14">
        <v>35303</v>
      </c>
      <c r="E51" s="14">
        <v>35305</v>
      </c>
      <c r="F51" t="s">
        <v>855</v>
      </c>
      <c r="G51" s="10">
        <v>25.047000000000001</v>
      </c>
      <c r="H51" t="s">
        <v>29</v>
      </c>
    </row>
    <row r="52" spans="1:8" x14ac:dyDescent="0.45">
      <c r="A52">
        <v>10290</v>
      </c>
      <c r="B52" t="s">
        <v>107</v>
      </c>
      <c r="C52" t="s">
        <v>863</v>
      </c>
      <c r="D52" s="14">
        <v>35304</v>
      </c>
      <c r="E52" s="14">
        <v>35311</v>
      </c>
      <c r="F52" t="s">
        <v>857</v>
      </c>
      <c r="G52" s="10">
        <v>87.67</v>
      </c>
      <c r="H52" t="s">
        <v>113</v>
      </c>
    </row>
    <row r="53" spans="1:8" x14ac:dyDescent="0.45">
      <c r="A53">
        <v>10291</v>
      </c>
      <c r="B53" t="s">
        <v>438</v>
      </c>
      <c r="C53" t="s">
        <v>856</v>
      </c>
      <c r="D53" s="14">
        <v>35304</v>
      </c>
      <c r="E53" s="14">
        <v>35312</v>
      </c>
      <c r="F53" t="s">
        <v>859</v>
      </c>
      <c r="G53" s="10">
        <v>7.04</v>
      </c>
      <c r="H53" t="s">
        <v>113</v>
      </c>
    </row>
    <row r="54" spans="1:8" x14ac:dyDescent="0.45">
      <c r="A54">
        <v>10292</v>
      </c>
      <c r="B54" t="s">
        <v>573</v>
      </c>
      <c r="C54" t="s">
        <v>862</v>
      </c>
      <c r="D54" s="14">
        <v>35305</v>
      </c>
      <c r="E54" s="14">
        <v>35310</v>
      </c>
      <c r="F54" t="s">
        <v>859</v>
      </c>
      <c r="G54" s="10">
        <v>1.4850000000000001</v>
      </c>
      <c r="H54" t="s">
        <v>113</v>
      </c>
    </row>
    <row r="55" spans="1:8" x14ac:dyDescent="0.45">
      <c r="A55">
        <v>10293</v>
      </c>
      <c r="B55" t="s">
        <v>568</v>
      </c>
      <c r="C55" t="s">
        <v>862</v>
      </c>
      <c r="D55" s="14">
        <v>35306</v>
      </c>
      <c r="E55" s="14">
        <v>35319</v>
      </c>
      <c r="F55" t="s">
        <v>855</v>
      </c>
      <c r="G55" s="10">
        <v>23.297999999999998</v>
      </c>
      <c r="H55" t="s">
        <v>15</v>
      </c>
    </row>
    <row r="56" spans="1:8" x14ac:dyDescent="0.45">
      <c r="A56">
        <v>10294</v>
      </c>
      <c r="B56" t="s">
        <v>462</v>
      </c>
      <c r="C56" t="s">
        <v>858</v>
      </c>
      <c r="D56" s="14">
        <v>35307</v>
      </c>
      <c r="E56" s="14">
        <v>35313</v>
      </c>
      <c r="F56" t="s">
        <v>859</v>
      </c>
      <c r="G56" s="10">
        <v>161.98599999999999</v>
      </c>
      <c r="H56" t="s">
        <v>231</v>
      </c>
    </row>
    <row r="57" spans="1:8" x14ac:dyDescent="0.45">
      <c r="A57">
        <v>10295</v>
      </c>
      <c r="B57" t="s">
        <v>600</v>
      </c>
      <c r="C57" t="s">
        <v>864</v>
      </c>
      <c r="D57" s="14">
        <v>35310</v>
      </c>
      <c r="E57" s="14">
        <v>35318</v>
      </c>
      <c r="F57" t="s">
        <v>859</v>
      </c>
      <c r="G57" s="10">
        <v>1.2649999999999999</v>
      </c>
      <c r="H57" t="s">
        <v>52</v>
      </c>
    </row>
    <row r="58" spans="1:8" x14ac:dyDescent="0.45">
      <c r="A58">
        <v>10296</v>
      </c>
      <c r="B58" t="s">
        <v>333</v>
      </c>
      <c r="C58" t="s">
        <v>856</v>
      </c>
      <c r="D58" s="14">
        <v>35311</v>
      </c>
      <c r="E58" s="14">
        <v>35319</v>
      </c>
      <c r="F58" t="s">
        <v>857</v>
      </c>
      <c r="G58" s="10">
        <v>0.13200000000000001</v>
      </c>
      <c r="H58" t="s">
        <v>240</v>
      </c>
    </row>
    <row r="59" spans="1:8" x14ac:dyDescent="0.45">
      <c r="A59">
        <v>10297</v>
      </c>
      <c r="B59" t="s">
        <v>47</v>
      </c>
      <c r="C59" t="s">
        <v>854</v>
      </c>
      <c r="D59" s="14">
        <v>35312</v>
      </c>
      <c r="E59" s="14">
        <v>35318</v>
      </c>
      <c r="F59" t="s">
        <v>859</v>
      </c>
      <c r="G59" s="10">
        <v>6.3140000000000001</v>
      </c>
      <c r="H59" t="s">
        <v>52</v>
      </c>
    </row>
    <row r="60" spans="1:8" x14ac:dyDescent="0.45">
      <c r="A60">
        <v>10298</v>
      </c>
      <c r="B60" t="s">
        <v>266</v>
      </c>
      <c r="C60" t="s">
        <v>856</v>
      </c>
      <c r="D60" s="14">
        <v>35313</v>
      </c>
      <c r="E60" s="14">
        <v>35319</v>
      </c>
      <c r="F60" t="s">
        <v>859</v>
      </c>
      <c r="G60" s="10">
        <v>185.042</v>
      </c>
      <c r="H60" t="s">
        <v>271</v>
      </c>
    </row>
    <row r="61" spans="1:8" x14ac:dyDescent="0.45">
      <c r="A61">
        <v>10299</v>
      </c>
      <c r="B61" t="s">
        <v>477</v>
      </c>
      <c r="C61" t="s">
        <v>858</v>
      </c>
      <c r="D61" s="14">
        <v>35314</v>
      </c>
      <c r="E61" s="14">
        <v>35321</v>
      </c>
      <c r="F61" t="s">
        <v>859</v>
      </c>
      <c r="G61" s="10">
        <v>32.735999999999997</v>
      </c>
      <c r="H61" t="s">
        <v>113</v>
      </c>
    </row>
    <row r="62" spans="1:8" x14ac:dyDescent="0.45">
      <c r="A62">
        <v>10300</v>
      </c>
      <c r="B62" t="s">
        <v>356</v>
      </c>
      <c r="C62" t="s">
        <v>864</v>
      </c>
      <c r="D62" s="14">
        <v>35317</v>
      </c>
      <c r="E62" s="14">
        <v>35326</v>
      </c>
      <c r="F62" t="s">
        <v>859</v>
      </c>
      <c r="G62" s="10">
        <v>19.448</v>
      </c>
      <c r="H62" t="s">
        <v>193</v>
      </c>
    </row>
    <row r="63" spans="1:8" x14ac:dyDescent="0.45">
      <c r="A63">
        <v>10301</v>
      </c>
      <c r="B63" t="s">
        <v>607</v>
      </c>
      <c r="C63" t="s">
        <v>863</v>
      </c>
      <c r="D63" s="14">
        <v>35317</v>
      </c>
      <c r="E63" s="14">
        <v>35325</v>
      </c>
      <c r="F63" t="s">
        <v>859</v>
      </c>
      <c r="G63" s="10">
        <v>49.588000000000001</v>
      </c>
      <c r="H63" t="s">
        <v>7</v>
      </c>
    </row>
    <row r="64" spans="1:8" x14ac:dyDescent="0.45">
      <c r="A64">
        <v>10302</v>
      </c>
      <c r="B64" t="s">
        <v>540</v>
      </c>
      <c r="C64" t="s">
        <v>858</v>
      </c>
      <c r="D64" s="14">
        <v>35318</v>
      </c>
      <c r="E64" s="14">
        <v>35347</v>
      </c>
      <c r="F64" t="s">
        <v>859</v>
      </c>
      <c r="G64" s="10">
        <v>6.8970000000000002</v>
      </c>
      <c r="H64" t="s">
        <v>368</v>
      </c>
    </row>
    <row r="65" spans="1:8" x14ac:dyDescent="0.45">
      <c r="A65">
        <v>10303</v>
      </c>
      <c r="B65" t="s">
        <v>211</v>
      </c>
      <c r="C65" t="s">
        <v>865</v>
      </c>
      <c r="D65" s="14">
        <v>35319</v>
      </c>
      <c r="E65" s="14">
        <v>35326</v>
      </c>
      <c r="F65" t="s">
        <v>859</v>
      </c>
      <c r="G65" s="10">
        <v>118.613</v>
      </c>
      <c r="H65" t="s">
        <v>60</v>
      </c>
    </row>
    <row r="66" spans="1:8" x14ac:dyDescent="0.45">
      <c r="A66">
        <v>10304</v>
      </c>
      <c r="B66" t="s">
        <v>568</v>
      </c>
      <c r="C66" t="s">
        <v>862</v>
      </c>
      <c r="D66" s="14">
        <v>35320</v>
      </c>
      <c r="E66" s="14">
        <v>35325</v>
      </c>
      <c r="F66" t="s">
        <v>859</v>
      </c>
      <c r="G66" s="10">
        <v>70.168999999999997</v>
      </c>
      <c r="H66" t="s">
        <v>15</v>
      </c>
    </row>
    <row r="67" spans="1:8" x14ac:dyDescent="0.45">
      <c r="A67">
        <v>10305</v>
      </c>
      <c r="B67" t="s">
        <v>397</v>
      </c>
      <c r="C67" t="s">
        <v>863</v>
      </c>
      <c r="D67" s="14">
        <v>35321</v>
      </c>
      <c r="E67" s="14">
        <v>35347</v>
      </c>
      <c r="F67" t="s">
        <v>855</v>
      </c>
      <c r="G67" s="10">
        <v>283.38200000000001</v>
      </c>
      <c r="H67" t="s">
        <v>231</v>
      </c>
    </row>
    <row r="68" spans="1:8" x14ac:dyDescent="0.45">
      <c r="A68">
        <v>10306</v>
      </c>
      <c r="B68" t="s">
        <v>490</v>
      </c>
      <c r="C68" t="s">
        <v>862</v>
      </c>
      <c r="D68" s="14">
        <v>35324</v>
      </c>
      <c r="E68" s="14">
        <v>35331</v>
      </c>
      <c r="F68" t="s">
        <v>855</v>
      </c>
      <c r="G68" s="10">
        <v>8.3160000000000007</v>
      </c>
      <c r="H68" t="s">
        <v>60</v>
      </c>
    </row>
    <row r="69" spans="1:8" x14ac:dyDescent="0.45">
      <c r="A69">
        <v>10307</v>
      </c>
      <c r="B69" t="s">
        <v>349</v>
      </c>
      <c r="C69" t="s">
        <v>864</v>
      </c>
      <c r="D69" s="14">
        <v>35325</v>
      </c>
      <c r="E69" s="14">
        <v>35333</v>
      </c>
      <c r="F69" t="s">
        <v>859</v>
      </c>
      <c r="G69" s="10">
        <v>0.61599999999999999</v>
      </c>
      <c r="H69" t="s">
        <v>231</v>
      </c>
    </row>
    <row r="70" spans="1:8" x14ac:dyDescent="0.45">
      <c r="A70">
        <v>10308</v>
      </c>
      <c r="B70" t="s">
        <v>10</v>
      </c>
      <c r="C70" t="s">
        <v>865</v>
      </c>
      <c r="D70" s="14">
        <v>35326</v>
      </c>
      <c r="E70" s="14">
        <v>35332</v>
      </c>
      <c r="F70" t="s">
        <v>855</v>
      </c>
      <c r="G70" s="10">
        <v>1.7709999999999999</v>
      </c>
      <c r="H70" t="s">
        <v>15</v>
      </c>
    </row>
    <row r="71" spans="1:8" x14ac:dyDescent="0.45">
      <c r="A71">
        <v>10309</v>
      </c>
      <c r="B71" t="s">
        <v>266</v>
      </c>
      <c r="C71" t="s">
        <v>860</v>
      </c>
      <c r="D71" s="14">
        <v>35327</v>
      </c>
      <c r="E71" s="14">
        <v>35361</v>
      </c>
      <c r="F71" t="s">
        <v>857</v>
      </c>
      <c r="G71" s="10">
        <v>52.03</v>
      </c>
      <c r="H71" t="s">
        <v>271</v>
      </c>
    </row>
    <row r="72" spans="1:8" x14ac:dyDescent="0.45">
      <c r="A72">
        <v>10310</v>
      </c>
      <c r="B72" t="s">
        <v>547</v>
      </c>
      <c r="C72" t="s">
        <v>863</v>
      </c>
      <c r="D72" s="14">
        <v>35328</v>
      </c>
      <c r="E72" s="14">
        <v>35335</v>
      </c>
      <c r="F72" t="s">
        <v>859</v>
      </c>
      <c r="G72" s="10">
        <v>19.271999999999998</v>
      </c>
      <c r="H72" t="s">
        <v>231</v>
      </c>
    </row>
    <row r="73" spans="1:8" x14ac:dyDescent="0.45">
      <c r="A73">
        <v>10311</v>
      </c>
      <c r="B73" t="s">
        <v>129</v>
      </c>
      <c r="C73" t="s">
        <v>862</v>
      </c>
      <c r="D73" s="14">
        <v>35328</v>
      </c>
      <c r="E73" s="14">
        <v>35334</v>
      </c>
      <c r="F73" t="s">
        <v>855</v>
      </c>
      <c r="G73" s="10">
        <v>27.158999999999999</v>
      </c>
      <c r="H73" t="s">
        <v>52</v>
      </c>
    </row>
    <row r="74" spans="1:8" x14ac:dyDescent="0.45">
      <c r="A74">
        <v>10312</v>
      </c>
      <c r="B74" t="s">
        <v>607</v>
      </c>
      <c r="C74" t="s">
        <v>864</v>
      </c>
      <c r="D74" s="14">
        <v>35331</v>
      </c>
      <c r="E74" s="14">
        <v>35341</v>
      </c>
      <c r="F74" t="s">
        <v>859</v>
      </c>
      <c r="G74" s="10">
        <v>44.286000000000001</v>
      </c>
      <c r="H74" t="s">
        <v>7</v>
      </c>
    </row>
    <row r="75" spans="1:8" x14ac:dyDescent="0.45">
      <c r="A75">
        <v>10313</v>
      </c>
      <c r="B75" t="s">
        <v>450</v>
      </c>
      <c r="C75" t="s">
        <v>864</v>
      </c>
      <c r="D75" s="14">
        <v>35332</v>
      </c>
      <c r="E75" s="14">
        <v>35342</v>
      </c>
      <c r="F75" t="s">
        <v>859</v>
      </c>
      <c r="G75" s="10">
        <v>2.1560000000000001</v>
      </c>
      <c r="H75" t="s">
        <v>7</v>
      </c>
    </row>
    <row r="76" spans="1:8" x14ac:dyDescent="0.45">
      <c r="A76">
        <v>10314</v>
      </c>
      <c r="B76" t="s">
        <v>462</v>
      </c>
      <c r="C76" t="s">
        <v>862</v>
      </c>
      <c r="D76" s="14">
        <v>35333</v>
      </c>
      <c r="E76" s="14">
        <v>35342</v>
      </c>
      <c r="F76" t="s">
        <v>859</v>
      </c>
      <c r="G76" s="10">
        <v>81.575999999999993</v>
      </c>
      <c r="H76" t="s">
        <v>231</v>
      </c>
    </row>
    <row r="77" spans="1:8" x14ac:dyDescent="0.45">
      <c r="A77">
        <v>10315</v>
      </c>
      <c r="B77" t="s">
        <v>274</v>
      </c>
      <c r="C77" t="s">
        <v>858</v>
      </c>
      <c r="D77" s="14">
        <v>35334</v>
      </c>
      <c r="E77" s="14">
        <v>35341</v>
      </c>
      <c r="F77" t="s">
        <v>859</v>
      </c>
      <c r="G77" s="10">
        <v>45.936</v>
      </c>
      <c r="H77" t="s">
        <v>29</v>
      </c>
    </row>
    <row r="78" spans="1:8" x14ac:dyDescent="0.45">
      <c r="A78">
        <v>10316</v>
      </c>
      <c r="B78" t="s">
        <v>462</v>
      </c>
      <c r="C78" t="s">
        <v>862</v>
      </c>
      <c r="D78" s="14">
        <v>35335</v>
      </c>
      <c r="E78" s="14">
        <v>35346</v>
      </c>
      <c r="F78" t="s">
        <v>855</v>
      </c>
      <c r="G78" s="10">
        <v>165.16499999999999</v>
      </c>
      <c r="H78" t="s">
        <v>231</v>
      </c>
    </row>
    <row r="79" spans="1:8" x14ac:dyDescent="0.45">
      <c r="A79">
        <v>10317</v>
      </c>
      <c r="B79" t="s">
        <v>349</v>
      </c>
      <c r="C79" t="s">
        <v>856</v>
      </c>
      <c r="D79" s="14">
        <v>35338</v>
      </c>
      <c r="E79" s="14">
        <v>35348</v>
      </c>
      <c r="F79" t="s">
        <v>857</v>
      </c>
      <c r="G79" s="10">
        <v>13.959</v>
      </c>
      <c r="H79" t="s">
        <v>231</v>
      </c>
    </row>
    <row r="80" spans="1:8" x14ac:dyDescent="0.45">
      <c r="A80">
        <v>10318</v>
      </c>
      <c r="B80" t="s">
        <v>274</v>
      </c>
      <c r="C80" t="s">
        <v>863</v>
      </c>
      <c r="D80" s="14">
        <v>35339</v>
      </c>
      <c r="E80" s="14">
        <v>35342</v>
      </c>
      <c r="F80" t="s">
        <v>859</v>
      </c>
      <c r="G80" s="10">
        <v>5.2030000000000003</v>
      </c>
      <c r="H80" t="s">
        <v>29</v>
      </c>
    </row>
    <row r="81" spans="1:8" x14ac:dyDescent="0.45">
      <c r="A81">
        <v>10319</v>
      </c>
      <c r="B81" t="s">
        <v>568</v>
      </c>
      <c r="C81" t="s">
        <v>865</v>
      </c>
      <c r="D81" s="14">
        <v>35340</v>
      </c>
      <c r="E81" s="14">
        <v>35349</v>
      </c>
      <c r="F81" t="s">
        <v>855</v>
      </c>
      <c r="G81" s="10">
        <v>70.95</v>
      </c>
      <c r="H81" t="s">
        <v>15</v>
      </c>
    </row>
    <row r="82" spans="1:8" x14ac:dyDescent="0.45">
      <c r="A82">
        <v>10320</v>
      </c>
      <c r="B82" t="s">
        <v>614</v>
      </c>
      <c r="C82" t="s">
        <v>854</v>
      </c>
      <c r="D82" s="14">
        <v>35341</v>
      </c>
      <c r="E82" s="14">
        <v>35356</v>
      </c>
      <c r="F82" t="s">
        <v>855</v>
      </c>
      <c r="G82" s="10">
        <v>38.027000000000001</v>
      </c>
      <c r="H82" t="s">
        <v>619</v>
      </c>
    </row>
    <row r="83" spans="1:8" x14ac:dyDescent="0.45">
      <c r="A83">
        <v>10321</v>
      </c>
      <c r="B83" t="s">
        <v>274</v>
      </c>
      <c r="C83" t="s">
        <v>860</v>
      </c>
      <c r="D83" s="14">
        <v>35341</v>
      </c>
      <c r="E83" s="14">
        <v>35349</v>
      </c>
      <c r="F83" t="s">
        <v>859</v>
      </c>
      <c r="G83" s="10">
        <v>3.7730000000000001</v>
      </c>
      <c r="H83" t="s">
        <v>29</v>
      </c>
    </row>
    <row r="84" spans="1:8" x14ac:dyDescent="0.45">
      <c r="A84">
        <v>10322</v>
      </c>
      <c r="B84" t="s">
        <v>419</v>
      </c>
      <c r="C84" t="s">
        <v>865</v>
      </c>
      <c r="D84" s="14">
        <v>35342</v>
      </c>
      <c r="E84" s="14">
        <v>35361</v>
      </c>
      <c r="F84" t="s">
        <v>855</v>
      </c>
      <c r="G84" s="10">
        <v>0.44</v>
      </c>
      <c r="H84" t="s">
        <v>15</v>
      </c>
    </row>
    <row r="85" spans="1:8" x14ac:dyDescent="0.45">
      <c r="A85">
        <v>10323</v>
      </c>
      <c r="B85" t="s">
        <v>282</v>
      </c>
      <c r="C85" t="s">
        <v>858</v>
      </c>
      <c r="D85" s="14">
        <v>35345</v>
      </c>
      <c r="E85" s="14">
        <v>35352</v>
      </c>
      <c r="F85" t="s">
        <v>857</v>
      </c>
      <c r="G85" s="10">
        <v>5.3680000000000003</v>
      </c>
      <c r="H85" t="s">
        <v>7</v>
      </c>
    </row>
    <row r="86" spans="1:8" x14ac:dyDescent="0.45">
      <c r="A86">
        <v>10324</v>
      </c>
      <c r="B86" t="s">
        <v>504</v>
      </c>
      <c r="C86" t="s">
        <v>861</v>
      </c>
      <c r="D86" s="14">
        <v>35346</v>
      </c>
      <c r="E86" s="14">
        <v>35348</v>
      </c>
      <c r="F86" t="s">
        <v>857</v>
      </c>
      <c r="G86" s="10">
        <v>235.697</v>
      </c>
      <c r="H86" t="s">
        <v>231</v>
      </c>
    </row>
    <row r="87" spans="1:8" x14ac:dyDescent="0.45">
      <c r="A87">
        <v>10325</v>
      </c>
      <c r="B87" t="s">
        <v>282</v>
      </c>
      <c r="C87" t="s">
        <v>862</v>
      </c>
      <c r="D87" s="14">
        <v>35347</v>
      </c>
      <c r="E87" s="14">
        <v>35352</v>
      </c>
      <c r="F87" t="s">
        <v>855</v>
      </c>
      <c r="G87" s="10">
        <v>71.346000000000004</v>
      </c>
      <c r="H87" t="s">
        <v>7</v>
      </c>
    </row>
    <row r="88" spans="1:8" x14ac:dyDescent="0.45">
      <c r="A88">
        <v>10326</v>
      </c>
      <c r="B88" t="s">
        <v>55</v>
      </c>
      <c r="C88" t="s">
        <v>858</v>
      </c>
      <c r="D88" s="14">
        <v>35348</v>
      </c>
      <c r="E88" s="14">
        <v>35352</v>
      </c>
      <c r="F88" t="s">
        <v>859</v>
      </c>
      <c r="G88" s="10">
        <v>85.712000000000003</v>
      </c>
      <c r="H88" t="s">
        <v>60</v>
      </c>
    </row>
    <row r="89" spans="1:8" x14ac:dyDescent="0.45">
      <c r="A89">
        <v>10327</v>
      </c>
      <c r="B89" t="s">
        <v>169</v>
      </c>
      <c r="C89" t="s">
        <v>864</v>
      </c>
      <c r="D89" s="14">
        <v>35349</v>
      </c>
      <c r="E89" s="14">
        <v>35352</v>
      </c>
      <c r="F89" t="s">
        <v>857</v>
      </c>
      <c r="G89" s="10">
        <v>69.695999999999998</v>
      </c>
      <c r="H89" t="s">
        <v>37</v>
      </c>
    </row>
    <row r="90" spans="1:8" x14ac:dyDescent="0.45">
      <c r="A90">
        <v>10328</v>
      </c>
      <c r="B90" t="s">
        <v>196</v>
      </c>
      <c r="C90" t="s">
        <v>858</v>
      </c>
      <c r="D90" s="14">
        <v>35352</v>
      </c>
      <c r="E90" s="14">
        <v>35355</v>
      </c>
      <c r="F90" t="s">
        <v>855</v>
      </c>
      <c r="G90" s="10">
        <v>95.733000000000004</v>
      </c>
      <c r="H90" t="s">
        <v>201</v>
      </c>
    </row>
    <row r="91" spans="1:8" x14ac:dyDescent="0.45">
      <c r="A91">
        <v>10329</v>
      </c>
      <c r="B91" t="s">
        <v>532</v>
      </c>
      <c r="C91" t="s">
        <v>858</v>
      </c>
      <c r="D91" s="14">
        <v>35353</v>
      </c>
      <c r="E91" s="14">
        <v>35361</v>
      </c>
      <c r="F91" t="s">
        <v>859</v>
      </c>
      <c r="G91" s="10">
        <v>210.83699999999999</v>
      </c>
      <c r="H91" t="s">
        <v>231</v>
      </c>
    </row>
    <row r="92" spans="1:8" x14ac:dyDescent="0.45">
      <c r="A92">
        <v>10330</v>
      </c>
      <c r="B92" t="s">
        <v>333</v>
      </c>
      <c r="C92" t="s">
        <v>860</v>
      </c>
      <c r="D92" s="14">
        <v>35354</v>
      </c>
      <c r="E92" s="14">
        <v>35366</v>
      </c>
      <c r="F92" t="s">
        <v>857</v>
      </c>
      <c r="G92" s="10">
        <v>14.025</v>
      </c>
      <c r="H92" t="s">
        <v>240</v>
      </c>
    </row>
    <row r="93" spans="1:8" x14ac:dyDescent="0.45">
      <c r="A93">
        <v>10331</v>
      </c>
      <c r="B93" t="s">
        <v>63</v>
      </c>
      <c r="C93" t="s">
        <v>861</v>
      </c>
      <c r="D93" s="14">
        <v>35354</v>
      </c>
      <c r="E93" s="14">
        <v>35359</v>
      </c>
      <c r="F93" t="s">
        <v>857</v>
      </c>
      <c r="G93" s="10">
        <v>11.209</v>
      </c>
      <c r="H93" t="s">
        <v>52</v>
      </c>
    </row>
    <row r="94" spans="1:8" x14ac:dyDescent="0.45">
      <c r="A94">
        <v>10332</v>
      </c>
      <c r="B94" t="s">
        <v>371</v>
      </c>
      <c r="C94" t="s">
        <v>860</v>
      </c>
      <c r="D94" s="14">
        <v>35355</v>
      </c>
      <c r="E94" s="14">
        <v>35359</v>
      </c>
      <c r="F94" t="s">
        <v>859</v>
      </c>
      <c r="G94" s="10">
        <v>58.124000000000002</v>
      </c>
      <c r="H94" t="s">
        <v>76</v>
      </c>
    </row>
    <row r="95" spans="1:8" x14ac:dyDescent="0.45">
      <c r="A95">
        <v>10333</v>
      </c>
      <c r="B95" t="s">
        <v>614</v>
      </c>
      <c r="C95" t="s">
        <v>854</v>
      </c>
      <c r="D95" s="14">
        <v>35356</v>
      </c>
      <c r="E95" s="14">
        <v>35363</v>
      </c>
      <c r="F95" t="s">
        <v>855</v>
      </c>
      <c r="G95" s="10">
        <v>0.64900000000000002</v>
      </c>
      <c r="H95" t="s">
        <v>619</v>
      </c>
    </row>
    <row r="96" spans="1:8" x14ac:dyDescent="0.45">
      <c r="A96">
        <v>10334</v>
      </c>
      <c r="B96" t="s">
        <v>593</v>
      </c>
      <c r="C96" t="s">
        <v>863</v>
      </c>
      <c r="D96" s="14">
        <v>35359</v>
      </c>
      <c r="E96" s="14">
        <v>35366</v>
      </c>
      <c r="F96" t="s">
        <v>859</v>
      </c>
      <c r="G96" s="10">
        <v>9.4160000000000004</v>
      </c>
      <c r="H96" t="s">
        <v>52</v>
      </c>
    </row>
    <row r="97" spans="1:8" x14ac:dyDescent="0.45">
      <c r="A97">
        <v>10335</v>
      </c>
      <c r="B97" t="s">
        <v>266</v>
      </c>
      <c r="C97" t="s">
        <v>865</v>
      </c>
      <c r="D97" s="14">
        <v>35360</v>
      </c>
      <c r="E97" s="14">
        <v>35362</v>
      </c>
      <c r="F97" t="s">
        <v>859</v>
      </c>
      <c r="G97" s="10">
        <v>46.320999999999998</v>
      </c>
      <c r="H97" t="s">
        <v>271</v>
      </c>
    </row>
    <row r="98" spans="1:8" x14ac:dyDescent="0.45">
      <c r="A98">
        <v>10336</v>
      </c>
      <c r="B98" t="s">
        <v>432</v>
      </c>
      <c r="C98" t="s">
        <v>865</v>
      </c>
      <c r="D98" s="14">
        <v>35361</v>
      </c>
      <c r="E98" s="14">
        <v>35363</v>
      </c>
      <c r="F98" t="s">
        <v>859</v>
      </c>
      <c r="G98" s="10">
        <v>17.061</v>
      </c>
      <c r="H98" t="s">
        <v>201</v>
      </c>
    </row>
    <row r="99" spans="1:8" x14ac:dyDescent="0.45">
      <c r="A99">
        <v>10337</v>
      </c>
      <c r="B99" t="s">
        <v>176</v>
      </c>
      <c r="C99" t="s">
        <v>858</v>
      </c>
      <c r="D99" s="14">
        <v>35362</v>
      </c>
      <c r="E99" s="14">
        <v>35367</v>
      </c>
      <c r="F99" t="s">
        <v>855</v>
      </c>
      <c r="G99" s="10">
        <v>119.086</v>
      </c>
      <c r="H99" t="s">
        <v>7</v>
      </c>
    </row>
    <row r="100" spans="1:8" x14ac:dyDescent="0.45">
      <c r="A100">
        <v>10338</v>
      </c>
      <c r="B100" t="s">
        <v>397</v>
      </c>
      <c r="C100" t="s">
        <v>858</v>
      </c>
      <c r="D100" s="14">
        <v>35363</v>
      </c>
      <c r="E100" s="14">
        <v>35367</v>
      </c>
      <c r="F100" t="s">
        <v>855</v>
      </c>
      <c r="G100" s="10">
        <v>92.631</v>
      </c>
      <c r="H100" t="s">
        <v>231</v>
      </c>
    </row>
    <row r="101" spans="1:8" x14ac:dyDescent="0.45">
      <c r="A101">
        <v>10339</v>
      </c>
      <c r="B101" t="s">
        <v>371</v>
      </c>
      <c r="C101" t="s">
        <v>864</v>
      </c>
      <c r="D101" s="14">
        <v>35366</v>
      </c>
      <c r="E101" s="14">
        <v>35373</v>
      </c>
      <c r="F101" t="s">
        <v>859</v>
      </c>
      <c r="G101" s="10">
        <v>17.225999999999999</v>
      </c>
      <c r="H101" t="s">
        <v>76</v>
      </c>
    </row>
    <row r="102" spans="1:8" x14ac:dyDescent="0.45">
      <c r="A102">
        <v>10340</v>
      </c>
      <c r="B102" t="s">
        <v>63</v>
      </c>
      <c r="C102" t="s">
        <v>862</v>
      </c>
      <c r="D102" s="14">
        <v>35367</v>
      </c>
      <c r="E102" s="14">
        <v>35377</v>
      </c>
      <c r="F102" t="s">
        <v>855</v>
      </c>
      <c r="G102" s="10">
        <v>182.941</v>
      </c>
      <c r="H102" t="s">
        <v>52</v>
      </c>
    </row>
    <row r="103" spans="1:8" x14ac:dyDescent="0.45">
      <c r="A103">
        <v>10341</v>
      </c>
      <c r="B103" t="s">
        <v>518</v>
      </c>
      <c r="C103" t="s">
        <v>865</v>
      </c>
      <c r="D103" s="14">
        <v>35367</v>
      </c>
      <c r="E103" s="14">
        <v>35374</v>
      </c>
      <c r="F103" t="s">
        <v>855</v>
      </c>
      <c r="G103" s="10">
        <v>29.457999999999998</v>
      </c>
      <c r="H103" t="s">
        <v>523</v>
      </c>
    </row>
    <row r="104" spans="1:8" x14ac:dyDescent="0.45">
      <c r="A104">
        <v>10342</v>
      </c>
      <c r="B104" t="s">
        <v>176</v>
      </c>
      <c r="C104" t="s">
        <v>858</v>
      </c>
      <c r="D104" s="14">
        <v>35368</v>
      </c>
      <c r="E104" s="14">
        <v>35373</v>
      </c>
      <c r="F104" t="s">
        <v>859</v>
      </c>
      <c r="G104" s="10">
        <v>60.313000000000002</v>
      </c>
      <c r="H104" t="s">
        <v>7</v>
      </c>
    </row>
    <row r="105" spans="1:8" x14ac:dyDescent="0.45">
      <c r="A105">
        <v>10343</v>
      </c>
      <c r="B105" t="s">
        <v>318</v>
      </c>
      <c r="C105" t="s">
        <v>858</v>
      </c>
      <c r="D105" s="14">
        <v>35369</v>
      </c>
      <c r="E105" s="14">
        <v>35375</v>
      </c>
      <c r="F105" t="s">
        <v>857</v>
      </c>
      <c r="G105" s="10">
        <v>121.407</v>
      </c>
      <c r="H105" t="s">
        <v>7</v>
      </c>
    </row>
    <row r="106" spans="1:8" x14ac:dyDescent="0.45">
      <c r="A106">
        <v>10344</v>
      </c>
      <c r="B106" t="s">
        <v>629</v>
      </c>
      <c r="C106" t="s">
        <v>858</v>
      </c>
      <c r="D106" s="14">
        <v>35370</v>
      </c>
      <c r="E106" s="14">
        <v>35374</v>
      </c>
      <c r="F106" t="s">
        <v>859</v>
      </c>
      <c r="G106" s="10">
        <v>25.619</v>
      </c>
      <c r="H106" t="s">
        <v>231</v>
      </c>
    </row>
    <row r="107" spans="1:8" x14ac:dyDescent="0.45">
      <c r="A107">
        <v>10345</v>
      </c>
      <c r="B107" t="s">
        <v>450</v>
      </c>
      <c r="C107" t="s">
        <v>864</v>
      </c>
      <c r="D107" s="14">
        <v>35373</v>
      </c>
      <c r="E107" s="14">
        <v>35380</v>
      </c>
      <c r="F107" t="s">
        <v>859</v>
      </c>
      <c r="G107" s="10">
        <v>273.96600000000001</v>
      </c>
      <c r="H107" t="s">
        <v>7</v>
      </c>
    </row>
    <row r="108" spans="1:8" x14ac:dyDescent="0.45">
      <c r="A108">
        <v>10346</v>
      </c>
      <c r="B108" t="s">
        <v>462</v>
      </c>
      <c r="C108" t="s">
        <v>860</v>
      </c>
      <c r="D108" s="14">
        <v>35374</v>
      </c>
      <c r="E108" s="14">
        <v>35377</v>
      </c>
      <c r="F108" t="s">
        <v>855</v>
      </c>
      <c r="G108" s="10">
        <v>156.28800000000001</v>
      </c>
      <c r="H108" t="s">
        <v>231</v>
      </c>
    </row>
    <row r="109" spans="1:8" x14ac:dyDescent="0.45">
      <c r="A109">
        <v>10347</v>
      </c>
      <c r="B109" t="s">
        <v>150</v>
      </c>
      <c r="C109" t="s">
        <v>858</v>
      </c>
      <c r="D109" s="14">
        <v>35375</v>
      </c>
      <c r="E109" s="14">
        <v>35377</v>
      </c>
      <c r="F109" t="s">
        <v>855</v>
      </c>
      <c r="G109" s="10">
        <v>3.41</v>
      </c>
      <c r="H109" t="s">
        <v>113</v>
      </c>
    </row>
    <row r="110" spans="1:8" x14ac:dyDescent="0.45">
      <c r="A110">
        <v>10348</v>
      </c>
      <c r="B110" t="s">
        <v>607</v>
      </c>
      <c r="C110" t="s">
        <v>858</v>
      </c>
      <c r="D110" s="14">
        <v>35376</v>
      </c>
      <c r="E110" s="14">
        <v>35384</v>
      </c>
      <c r="F110" t="s">
        <v>859</v>
      </c>
      <c r="G110" s="10">
        <v>0.85799999999999998</v>
      </c>
      <c r="H110" t="s">
        <v>7</v>
      </c>
    </row>
    <row r="111" spans="1:8" x14ac:dyDescent="0.45">
      <c r="A111">
        <v>10349</v>
      </c>
      <c r="B111" t="s">
        <v>532</v>
      </c>
      <c r="C111" t="s">
        <v>865</v>
      </c>
      <c r="D111" s="14">
        <v>35377</v>
      </c>
      <c r="E111" s="14">
        <v>35384</v>
      </c>
      <c r="F111" t="s">
        <v>857</v>
      </c>
      <c r="G111" s="10">
        <v>9.4930000000000003</v>
      </c>
      <c r="H111" t="s">
        <v>231</v>
      </c>
    </row>
    <row r="112" spans="1:8" x14ac:dyDescent="0.45">
      <c r="A112">
        <v>10350</v>
      </c>
      <c r="B112" t="s">
        <v>296</v>
      </c>
      <c r="C112" t="s">
        <v>856</v>
      </c>
      <c r="D112" s="14">
        <v>35380</v>
      </c>
      <c r="E112" s="14">
        <v>35402</v>
      </c>
      <c r="F112" t="s">
        <v>859</v>
      </c>
      <c r="G112" s="10">
        <v>70.608999999999995</v>
      </c>
      <c r="H112" t="s">
        <v>52</v>
      </c>
    </row>
    <row r="113" spans="1:8" x14ac:dyDescent="0.45">
      <c r="A113">
        <v>10351</v>
      </c>
      <c r="B113" t="s">
        <v>142</v>
      </c>
      <c r="C113" t="s">
        <v>862</v>
      </c>
      <c r="D113" s="14">
        <v>35380</v>
      </c>
      <c r="E113" s="14">
        <v>35389</v>
      </c>
      <c r="F113" t="s">
        <v>857</v>
      </c>
      <c r="G113" s="10">
        <v>178.56299999999999</v>
      </c>
      <c r="H113" t="s">
        <v>147</v>
      </c>
    </row>
    <row r="114" spans="1:8" x14ac:dyDescent="0.45">
      <c r="A114">
        <v>10352</v>
      </c>
      <c r="B114" t="s">
        <v>196</v>
      </c>
      <c r="C114" t="s">
        <v>860</v>
      </c>
      <c r="D114" s="14">
        <v>35381</v>
      </c>
      <c r="E114" s="14">
        <v>35387</v>
      </c>
      <c r="F114" t="s">
        <v>855</v>
      </c>
      <c r="G114" s="10">
        <v>1.43</v>
      </c>
      <c r="H114" t="s">
        <v>201</v>
      </c>
    </row>
    <row r="115" spans="1:8" x14ac:dyDescent="0.45">
      <c r="A115">
        <v>10353</v>
      </c>
      <c r="B115" t="s">
        <v>425</v>
      </c>
      <c r="C115" t="s">
        <v>865</v>
      </c>
      <c r="D115" s="14">
        <v>35382</v>
      </c>
      <c r="E115" s="14">
        <v>35394</v>
      </c>
      <c r="F115" t="s">
        <v>855</v>
      </c>
      <c r="G115" s="10">
        <v>396.69299999999998</v>
      </c>
      <c r="H115" t="s">
        <v>147</v>
      </c>
    </row>
    <row r="116" spans="1:8" x14ac:dyDescent="0.45">
      <c r="A116">
        <v>10354</v>
      </c>
      <c r="B116" t="s">
        <v>419</v>
      </c>
      <c r="C116" t="s">
        <v>863</v>
      </c>
      <c r="D116" s="14">
        <v>35383</v>
      </c>
      <c r="E116" s="14">
        <v>35389</v>
      </c>
      <c r="F116" t="s">
        <v>855</v>
      </c>
      <c r="G116" s="10">
        <v>59.18</v>
      </c>
      <c r="H116" t="s">
        <v>15</v>
      </c>
    </row>
    <row r="117" spans="1:8" x14ac:dyDescent="0.45">
      <c r="A117">
        <v>10355</v>
      </c>
      <c r="B117" t="s">
        <v>24</v>
      </c>
      <c r="C117" t="s">
        <v>856</v>
      </c>
      <c r="D117" s="14">
        <v>35384</v>
      </c>
      <c r="E117" s="14">
        <v>35389</v>
      </c>
      <c r="F117" t="s">
        <v>857</v>
      </c>
      <c r="G117" s="10">
        <v>46.145000000000003</v>
      </c>
      <c r="H117" t="s">
        <v>29</v>
      </c>
    </row>
    <row r="118" spans="1:8" x14ac:dyDescent="0.45">
      <c r="A118">
        <v>10356</v>
      </c>
      <c r="B118" t="s">
        <v>607</v>
      </c>
      <c r="C118" t="s">
        <v>856</v>
      </c>
      <c r="D118" s="14">
        <v>35387</v>
      </c>
      <c r="E118" s="14">
        <v>35396</v>
      </c>
      <c r="F118" t="s">
        <v>859</v>
      </c>
      <c r="G118" s="10">
        <v>40.381</v>
      </c>
      <c r="H118" t="s">
        <v>7</v>
      </c>
    </row>
    <row r="119" spans="1:8" x14ac:dyDescent="0.45">
      <c r="A119">
        <v>10357</v>
      </c>
      <c r="B119" t="s">
        <v>333</v>
      </c>
      <c r="C119" t="s">
        <v>862</v>
      </c>
      <c r="D119" s="14">
        <v>35388</v>
      </c>
      <c r="E119" s="14">
        <v>35401</v>
      </c>
      <c r="F119" t="s">
        <v>855</v>
      </c>
      <c r="G119" s="10">
        <v>38.368000000000002</v>
      </c>
      <c r="H119" t="s">
        <v>240</v>
      </c>
    </row>
    <row r="120" spans="1:8" x14ac:dyDescent="0.45">
      <c r="A120">
        <v>10358</v>
      </c>
      <c r="B120" t="s">
        <v>296</v>
      </c>
      <c r="C120" t="s">
        <v>854</v>
      </c>
      <c r="D120" s="14">
        <v>35389</v>
      </c>
      <c r="E120" s="14">
        <v>35396</v>
      </c>
      <c r="F120" t="s">
        <v>857</v>
      </c>
      <c r="G120" s="10">
        <v>21.603999999999999</v>
      </c>
      <c r="H120" t="s">
        <v>52</v>
      </c>
    </row>
    <row r="121" spans="1:8" x14ac:dyDescent="0.45">
      <c r="A121">
        <v>10359</v>
      </c>
      <c r="B121" t="s">
        <v>512</v>
      </c>
      <c r="C121" t="s">
        <v>854</v>
      </c>
      <c r="D121" s="14">
        <v>35390</v>
      </c>
      <c r="E121" s="14">
        <v>35395</v>
      </c>
      <c r="F121" t="s">
        <v>855</v>
      </c>
      <c r="G121" s="10">
        <v>317.27300000000002</v>
      </c>
      <c r="H121" t="s">
        <v>29</v>
      </c>
    </row>
    <row r="122" spans="1:8" x14ac:dyDescent="0.45">
      <c r="A122">
        <v>10360</v>
      </c>
      <c r="B122" t="s">
        <v>47</v>
      </c>
      <c r="C122" t="s">
        <v>858</v>
      </c>
      <c r="D122" s="14">
        <v>35391</v>
      </c>
      <c r="E122" s="14">
        <v>35401</v>
      </c>
      <c r="F122" t="s">
        <v>855</v>
      </c>
      <c r="G122" s="10">
        <v>144.87</v>
      </c>
      <c r="H122" t="s">
        <v>52</v>
      </c>
    </row>
    <row r="123" spans="1:8" x14ac:dyDescent="0.45">
      <c r="A123">
        <v>10361</v>
      </c>
      <c r="B123" t="s">
        <v>450</v>
      </c>
      <c r="C123" t="s">
        <v>862</v>
      </c>
      <c r="D123" s="14">
        <v>35391</v>
      </c>
      <c r="E123" s="14">
        <v>35402</v>
      </c>
      <c r="F123" t="s">
        <v>859</v>
      </c>
      <c r="G123" s="10">
        <v>201.48699999999999</v>
      </c>
      <c r="H123" t="s">
        <v>7</v>
      </c>
    </row>
    <row r="124" spans="1:8" x14ac:dyDescent="0.45">
      <c r="A124">
        <v>10362</v>
      </c>
      <c r="B124" t="s">
        <v>63</v>
      </c>
      <c r="C124" t="s">
        <v>860</v>
      </c>
      <c r="D124" s="14">
        <v>35394</v>
      </c>
      <c r="E124" s="14">
        <v>35397</v>
      </c>
      <c r="F124" t="s">
        <v>857</v>
      </c>
      <c r="G124" s="10">
        <v>105.64400000000001</v>
      </c>
      <c r="H124" t="s">
        <v>52</v>
      </c>
    </row>
    <row r="125" spans="1:8" x14ac:dyDescent="0.45">
      <c r="A125">
        <v>10363</v>
      </c>
      <c r="B125" t="s">
        <v>122</v>
      </c>
      <c r="C125" t="s">
        <v>858</v>
      </c>
      <c r="D125" s="14">
        <v>35395</v>
      </c>
      <c r="E125" s="14">
        <v>35403</v>
      </c>
      <c r="F125" t="s">
        <v>855</v>
      </c>
      <c r="G125" s="10">
        <v>33.594000000000001</v>
      </c>
      <c r="H125" t="s">
        <v>7</v>
      </c>
    </row>
    <row r="126" spans="1:8" x14ac:dyDescent="0.45">
      <c r="A126">
        <v>10364</v>
      </c>
      <c r="B126" t="s">
        <v>136</v>
      </c>
      <c r="C126" t="s">
        <v>862</v>
      </c>
      <c r="D126" s="14">
        <v>35395</v>
      </c>
      <c r="E126" s="14">
        <v>35403</v>
      </c>
      <c r="F126" t="s">
        <v>857</v>
      </c>
      <c r="G126" s="10">
        <v>79.167000000000002</v>
      </c>
      <c r="H126" t="s">
        <v>29</v>
      </c>
    </row>
    <row r="127" spans="1:8" x14ac:dyDescent="0.45">
      <c r="A127">
        <v>10365</v>
      </c>
      <c r="B127" t="s">
        <v>18</v>
      </c>
      <c r="C127" t="s">
        <v>860</v>
      </c>
      <c r="D127" s="14">
        <v>35396</v>
      </c>
      <c r="E127" s="14">
        <v>35401</v>
      </c>
      <c r="F127" t="s">
        <v>859</v>
      </c>
      <c r="G127" s="10">
        <v>24.2</v>
      </c>
      <c r="H127" t="s">
        <v>15</v>
      </c>
    </row>
    <row r="128" spans="1:8" x14ac:dyDescent="0.45">
      <c r="A128">
        <v>10366</v>
      </c>
      <c r="B128" t="s">
        <v>204</v>
      </c>
      <c r="C128" t="s">
        <v>863</v>
      </c>
      <c r="D128" s="14">
        <v>35397</v>
      </c>
      <c r="E128" s="14">
        <v>35429</v>
      </c>
      <c r="F128" t="s">
        <v>859</v>
      </c>
      <c r="G128" s="10">
        <v>11.154</v>
      </c>
      <c r="H128" t="s">
        <v>60</v>
      </c>
    </row>
    <row r="129" spans="1:8" x14ac:dyDescent="0.45">
      <c r="A129">
        <v>10367</v>
      </c>
      <c r="B129" t="s">
        <v>586</v>
      </c>
      <c r="C129" t="s">
        <v>865</v>
      </c>
      <c r="D129" s="14">
        <v>35397</v>
      </c>
      <c r="E129" s="14">
        <v>35401</v>
      </c>
      <c r="F129" t="s">
        <v>855</v>
      </c>
      <c r="G129" s="10">
        <v>14.904999999999999</v>
      </c>
      <c r="H129" t="s">
        <v>523</v>
      </c>
    </row>
    <row r="130" spans="1:8" x14ac:dyDescent="0.45">
      <c r="A130">
        <v>10368</v>
      </c>
      <c r="B130" t="s">
        <v>142</v>
      </c>
      <c r="C130" t="s">
        <v>864</v>
      </c>
      <c r="D130" s="14">
        <v>35398</v>
      </c>
      <c r="E130" s="14">
        <v>35401</v>
      </c>
      <c r="F130" t="s">
        <v>859</v>
      </c>
      <c r="G130" s="10">
        <v>112.145</v>
      </c>
      <c r="H130" t="s">
        <v>147</v>
      </c>
    </row>
    <row r="131" spans="1:8" x14ac:dyDescent="0.45">
      <c r="A131">
        <v>10369</v>
      </c>
      <c r="B131" t="s">
        <v>532</v>
      </c>
      <c r="C131" t="s">
        <v>863</v>
      </c>
      <c r="D131" s="14">
        <v>35401</v>
      </c>
      <c r="E131" s="14">
        <v>35408</v>
      </c>
      <c r="F131" t="s">
        <v>859</v>
      </c>
      <c r="G131" s="10">
        <v>215.24799999999999</v>
      </c>
      <c r="H131" t="s">
        <v>231</v>
      </c>
    </row>
    <row r="132" spans="1:8" x14ac:dyDescent="0.45">
      <c r="A132">
        <v>10370</v>
      </c>
      <c r="B132" t="s">
        <v>99</v>
      </c>
      <c r="C132" t="s">
        <v>856</v>
      </c>
      <c r="D132" s="14">
        <v>35402</v>
      </c>
      <c r="E132" s="14">
        <v>35426</v>
      </c>
      <c r="F132" t="s">
        <v>859</v>
      </c>
      <c r="G132" s="10">
        <v>1.2869999999999999</v>
      </c>
      <c r="H132" t="s">
        <v>104</v>
      </c>
    </row>
    <row r="133" spans="1:8" x14ac:dyDescent="0.45">
      <c r="A133">
        <v>10371</v>
      </c>
      <c r="B133" t="s">
        <v>296</v>
      </c>
      <c r="C133" t="s">
        <v>862</v>
      </c>
      <c r="D133" s="14">
        <v>35402</v>
      </c>
      <c r="E133" s="14">
        <v>35423</v>
      </c>
      <c r="F133" t="s">
        <v>857</v>
      </c>
      <c r="G133" s="10">
        <v>0.495</v>
      </c>
      <c r="H133" t="s">
        <v>52</v>
      </c>
    </row>
    <row r="134" spans="1:8" x14ac:dyDescent="0.45">
      <c r="A134">
        <v>10372</v>
      </c>
      <c r="B134" t="s">
        <v>444</v>
      </c>
      <c r="C134" t="s">
        <v>854</v>
      </c>
      <c r="D134" s="14">
        <v>35403</v>
      </c>
      <c r="E134" s="14">
        <v>35408</v>
      </c>
      <c r="F134" t="s">
        <v>859</v>
      </c>
      <c r="G134" s="10">
        <v>979.85799999999995</v>
      </c>
      <c r="H134" t="s">
        <v>113</v>
      </c>
    </row>
    <row r="135" spans="1:8" x14ac:dyDescent="0.45">
      <c r="A135">
        <v>10373</v>
      </c>
      <c r="B135" t="s">
        <v>266</v>
      </c>
      <c r="C135" t="s">
        <v>858</v>
      </c>
      <c r="D135" s="14">
        <v>35404</v>
      </c>
      <c r="E135" s="14">
        <v>35410</v>
      </c>
      <c r="F135" t="s">
        <v>855</v>
      </c>
      <c r="G135" s="10">
        <v>136.53200000000001</v>
      </c>
      <c r="H135" t="s">
        <v>271</v>
      </c>
    </row>
    <row r="136" spans="1:8" x14ac:dyDescent="0.45">
      <c r="A136">
        <v>10374</v>
      </c>
      <c r="B136" t="s">
        <v>643</v>
      </c>
      <c r="C136" t="s">
        <v>862</v>
      </c>
      <c r="D136" s="14">
        <v>35404</v>
      </c>
      <c r="E136" s="14">
        <v>35408</v>
      </c>
      <c r="F136" t="s">
        <v>855</v>
      </c>
      <c r="G136" s="10">
        <v>4.3339999999999996</v>
      </c>
      <c r="H136" t="s">
        <v>648</v>
      </c>
    </row>
    <row r="137" spans="1:8" x14ac:dyDescent="0.45">
      <c r="A137">
        <v>10375</v>
      </c>
      <c r="B137" t="s">
        <v>259</v>
      </c>
      <c r="C137" t="s">
        <v>860</v>
      </c>
      <c r="D137" s="14">
        <v>35405</v>
      </c>
      <c r="E137" s="14">
        <v>35408</v>
      </c>
      <c r="F137" t="s">
        <v>859</v>
      </c>
      <c r="G137" s="10">
        <v>22.132000000000001</v>
      </c>
      <c r="H137" t="s">
        <v>231</v>
      </c>
    </row>
    <row r="138" spans="1:8" x14ac:dyDescent="0.45">
      <c r="A138">
        <v>10376</v>
      </c>
      <c r="B138" t="s">
        <v>371</v>
      </c>
      <c r="C138" t="s">
        <v>862</v>
      </c>
      <c r="D138" s="14">
        <v>35408</v>
      </c>
      <c r="E138" s="14">
        <v>35412</v>
      </c>
      <c r="F138" t="s">
        <v>859</v>
      </c>
      <c r="G138" s="10">
        <v>22.428999999999998</v>
      </c>
      <c r="H138" t="s">
        <v>76</v>
      </c>
    </row>
    <row r="139" spans="1:8" x14ac:dyDescent="0.45">
      <c r="A139">
        <v>10377</v>
      </c>
      <c r="B139" t="s">
        <v>512</v>
      </c>
      <c r="C139" t="s">
        <v>862</v>
      </c>
      <c r="D139" s="14">
        <v>35408</v>
      </c>
      <c r="E139" s="14">
        <v>35412</v>
      </c>
      <c r="F139" t="s">
        <v>855</v>
      </c>
      <c r="G139" s="10">
        <v>24.431000000000001</v>
      </c>
      <c r="H139" t="s">
        <v>29</v>
      </c>
    </row>
    <row r="140" spans="1:8" x14ac:dyDescent="0.45">
      <c r="A140">
        <v>10378</v>
      </c>
      <c r="B140" t="s">
        <v>169</v>
      </c>
      <c r="C140" t="s">
        <v>854</v>
      </c>
      <c r="D140" s="14">
        <v>35409</v>
      </c>
      <c r="E140" s="14">
        <v>35418</v>
      </c>
      <c r="F140" t="s">
        <v>855</v>
      </c>
      <c r="G140" s="10">
        <v>5.984</v>
      </c>
      <c r="H140" t="s">
        <v>37</v>
      </c>
    </row>
    <row r="141" spans="1:8" x14ac:dyDescent="0.45">
      <c r="A141">
        <v>10379</v>
      </c>
      <c r="B141" t="s">
        <v>438</v>
      </c>
      <c r="C141" t="s">
        <v>864</v>
      </c>
      <c r="D141" s="14">
        <v>35410</v>
      </c>
      <c r="E141" s="14">
        <v>35412</v>
      </c>
      <c r="F141" t="s">
        <v>857</v>
      </c>
      <c r="G141" s="10">
        <v>49.533000000000001</v>
      </c>
      <c r="H141" t="s">
        <v>113</v>
      </c>
    </row>
    <row r="142" spans="1:8" x14ac:dyDescent="0.45">
      <c r="A142">
        <v>10380</v>
      </c>
      <c r="B142" t="s">
        <v>266</v>
      </c>
      <c r="C142" t="s">
        <v>863</v>
      </c>
      <c r="D142" s="14">
        <v>35411</v>
      </c>
      <c r="E142" s="14">
        <v>35446</v>
      </c>
      <c r="F142" t="s">
        <v>855</v>
      </c>
      <c r="G142" s="10">
        <v>38.533000000000001</v>
      </c>
      <c r="H142" t="s">
        <v>271</v>
      </c>
    </row>
    <row r="143" spans="1:8" x14ac:dyDescent="0.45">
      <c r="A143">
        <v>10381</v>
      </c>
      <c r="B143" t="s">
        <v>333</v>
      </c>
      <c r="C143" t="s">
        <v>860</v>
      </c>
      <c r="D143" s="14">
        <v>35411</v>
      </c>
      <c r="E143" s="14">
        <v>35412</v>
      </c>
      <c r="F143" t="s">
        <v>855</v>
      </c>
      <c r="G143" s="10">
        <v>8.7889999999999997</v>
      </c>
      <c r="H143" t="s">
        <v>240</v>
      </c>
    </row>
    <row r="144" spans="1:8" x14ac:dyDescent="0.45">
      <c r="A144">
        <v>10382</v>
      </c>
      <c r="B144" t="s">
        <v>142</v>
      </c>
      <c r="C144" t="s">
        <v>858</v>
      </c>
      <c r="D144" s="14">
        <v>35412</v>
      </c>
      <c r="E144" s="14">
        <v>35415</v>
      </c>
      <c r="F144" t="s">
        <v>857</v>
      </c>
      <c r="G144" s="10">
        <v>104.247</v>
      </c>
      <c r="H144" t="s">
        <v>147</v>
      </c>
    </row>
    <row r="145" spans="1:8" x14ac:dyDescent="0.45">
      <c r="A145">
        <v>10383</v>
      </c>
      <c r="B145" t="s">
        <v>24</v>
      </c>
      <c r="C145" t="s">
        <v>863</v>
      </c>
      <c r="D145" s="14">
        <v>35415</v>
      </c>
      <c r="E145" s="14">
        <v>35417</v>
      </c>
      <c r="F145" t="s">
        <v>855</v>
      </c>
      <c r="G145" s="10">
        <v>37.664000000000001</v>
      </c>
      <c r="H145" t="s">
        <v>29</v>
      </c>
    </row>
    <row r="146" spans="1:8" x14ac:dyDescent="0.45">
      <c r="A146">
        <v>10384</v>
      </c>
      <c r="B146" t="s">
        <v>32</v>
      </c>
      <c r="C146" t="s">
        <v>860</v>
      </c>
      <c r="D146" s="14">
        <v>35415</v>
      </c>
      <c r="E146" s="14">
        <v>35419</v>
      </c>
      <c r="F146" t="s">
        <v>855</v>
      </c>
      <c r="G146" s="10">
        <v>185.50399999999999</v>
      </c>
      <c r="H146" t="s">
        <v>37</v>
      </c>
    </row>
    <row r="147" spans="1:8" x14ac:dyDescent="0.45">
      <c r="A147">
        <v>10385</v>
      </c>
      <c r="B147" t="s">
        <v>532</v>
      </c>
      <c r="C147" t="s">
        <v>862</v>
      </c>
      <c r="D147" s="14">
        <v>35416</v>
      </c>
      <c r="E147" s="14">
        <v>35422</v>
      </c>
      <c r="F147" t="s">
        <v>859</v>
      </c>
      <c r="G147" s="10">
        <v>34.055999999999997</v>
      </c>
      <c r="H147" t="s">
        <v>231</v>
      </c>
    </row>
    <row r="148" spans="1:8" x14ac:dyDescent="0.45">
      <c r="A148">
        <v>10386</v>
      </c>
      <c r="B148" t="s">
        <v>150</v>
      </c>
      <c r="C148" t="s">
        <v>861</v>
      </c>
      <c r="D148" s="14">
        <v>35417</v>
      </c>
      <c r="E148" s="14">
        <v>35424</v>
      </c>
      <c r="F148" t="s">
        <v>855</v>
      </c>
      <c r="G148" s="10">
        <v>15.388999999999999</v>
      </c>
      <c r="H148" t="s">
        <v>113</v>
      </c>
    </row>
    <row r="149" spans="1:8" x14ac:dyDescent="0.45">
      <c r="A149">
        <v>10387</v>
      </c>
      <c r="B149" t="s">
        <v>496</v>
      </c>
      <c r="C149" t="s">
        <v>862</v>
      </c>
      <c r="D149" s="14">
        <v>35417</v>
      </c>
      <c r="E149" s="14">
        <v>35419</v>
      </c>
      <c r="F149" t="s">
        <v>859</v>
      </c>
      <c r="G149" s="10">
        <v>102.99299999999999</v>
      </c>
      <c r="H149" t="s">
        <v>501</v>
      </c>
    </row>
    <row r="150" spans="1:8" x14ac:dyDescent="0.45">
      <c r="A150">
        <v>10388</v>
      </c>
      <c r="B150" t="s">
        <v>512</v>
      </c>
      <c r="C150" t="s">
        <v>864</v>
      </c>
      <c r="D150" s="14">
        <v>35418</v>
      </c>
      <c r="E150" s="14">
        <v>35419</v>
      </c>
      <c r="F150" t="s">
        <v>857</v>
      </c>
      <c r="G150" s="10">
        <v>38.345999999999997</v>
      </c>
      <c r="H150" t="s">
        <v>29</v>
      </c>
    </row>
    <row r="151" spans="1:8" x14ac:dyDescent="0.45">
      <c r="A151">
        <v>10389</v>
      </c>
      <c r="B151" t="s">
        <v>70</v>
      </c>
      <c r="C151" t="s">
        <v>858</v>
      </c>
      <c r="D151" s="14">
        <v>35419</v>
      </c>
      <c r="E151" s="14">
        <v>35423</v>
      </c>
      <c r="F151" t="s">
        <v>859</v>
      </c>
      <c r="G151" s="10">
        <v>52.161999999999999</v>
      </c>
      <c r="H151" t="s">
        <v>76</v>
      </c>
    </row>
    <row r="152" spans="1:8" x14ac:dyDescent="0.45">
      <c r="A152">
        <v>10390</v>
      </c>
      <c r="B152" t="s">
        <v>142</v>
      </c>
      <c r="C152" t="s">
        <v>856</v>
      </c>
      <c r="D152" s="14">
        <v>35422</v>
      </c>
      <c r="E152" s="14">
        <v>35425</v>
      </c>
      <c r="F152" t="s">
        <v>857</v>
      </c>
      <c r="G152" s="10">
        <v>139.018</v>
      </c>
      <c r="H152" t="s">
        <v>147</v>
      </c>
    </row>
    <row r="153" spans="1:8" x14ac:dyDescent="0.45">
      <c r="A153">
        <v>10391</v>
      </c>
      <c r="B153" t="s">
        <v>122</v>
      </c>
      <c r="C153" t="s">
        <v>860</v>
      </c>
      <c r="D153" s="14">
        <v>35422</v>
      </c>
      <c r="E153" s="14">
        <v>35430</v>
      </c>
      <c r="F153" t="s">
        <v>855</v>
      </c>
      <c r="G153" s="10">
        <v>5.9950000000000001</v>
      </c>
      <c r="H153" t="s">
        <v>7</v>
      </c>
    </row>
    <row r="154" spans="1:8" x14ac:dyDescent="0.45">
      <c r="A154">
        <v>10392</v>
      </c>
      <c r="B154" t="s">
        <v>425</v>
      </c>
      <c r="C154" t="s">
        <v>864</v>
      </c>
      <c r="D154" s="14">
        <v>35423</v>
      </c>
      <c r="E154" s="14">
        <v>35431</v>
      </c>
      <c r="F154" t="s">
        <v>855</v>
      </c>
      <c r="G154" s="10">
        <v>134.70599999999999</v>
      </c>
      <c r="H154" t="s">
        <v>147</v>
      </c>
    </row>
    <row r="155" spans="1:8" x14ac:dyDescent="0.45">
      <c r="A155">
        <v>10393</v>
      </c>
      <c r="B155" t="s">
        <v>504</v>
      </c>
      <c r="C155" t="s">
        <v>862</v>
      </c>
      <c r="D155" s="14">
        <v>35424</v>
      </c>
      <c r="E155" s="14">
        <v>35433</v>
      </c>
      <c r="F155" t="s">
        <v>855</v>
      </c>
      <c r="G155" s="10">
        <v>139.21600000000001</v>
      </c>
      <c r="H155" t="s">
        <v>231</v>
      </c>
    </row>
    <row r="156" spans="1:8" x14ac:dyDescent="0.45">
      <c r="A156">
        <v>10394</v>
      </c>
      <c r="B156" t="s">
        <v>259</v>
      </c>
      <c r="C156" t="s">
        <v>862</v>
      </c>
      <c r="D156" s="14">
        <v>35424</v>
      </c>
      <c r="E156" s="14">
        <v>35433</v>
      </c>
      <c r="F156" t="s">
        <v>855</v>
      </c>
      <c r="G156" s="10">
        <v>33.374000000000002</v>
      </c>
      <c r="H156" t="s">
        <v>231</v>
      </c>
    </row>
    <row r="157" spans="1:8" x14ac:dyDescent="0.45">
      <c r="A157">
        <v>10395</v>
      </c>
      <c r="B157" t="s">
        <v>251</v>
      </c>
      <c r="C157" t="s">
        <v>856</v>
      </c>
      <c r="D157" s="14">
        <v>35425</v>
      </c>
      <c r="E157" s="14">
        <v>35433</v>
      </c>
      <c r="F157" t="s">
        <v>857</v>
      </c>
      <c r="G157" s="10">
        <v>202.851</v>
      </c>
      <c r="H157" t="s">
        <v>240</v>
      </c>
    </row>
    <row r="158" spans="1:8" x14ac:dyDescent="0.45">
      <c r="A158">
        <v>10396</v>
      </c>
      <c r="B158" t="s">
        <v>176</v>
      </c>
      <c r="C158" t="s">
        <v>862</v>
      </c>
      <c r="D158" s="14">
        <v>35426</v>
      </c>
      <c r="E158" s="14">
        <v>35436</v>
      </c>
      <c r="F158" t="s">
        <v>855</v>
      </c>
      <c r="G158" s="10">
        <v>148.88499999999999</v>
      </c>
      <c r="H158" t="s">
        <v>7</v>
      </c>
    </row>
    <row r="159" spans="1:8" x14ac:dyDescent="0.45">
      <c r="A159">
        <v>10397</v>
      </c>
      <c r="B159" t="s">
        <v>432</v>
      </c>
      <c r="C159" t="s">
        <v>854</v>
      </c>
      <c r="D159" s="14">
        <v>35426</v>
      </c>
      <c r="E159" s="14">
        <v>35432</v>
      </c>
      <c r="F159" t="s">
        <v>857</v>
      </c>
      <c r="G159" s="10">
        <v>66.286000000000001</v>
      </c>
      <c r="H159" t="s">
        <v>201</v>
      </c>
    </row>
    <row r="160" spans="1:8" x14ac:dyDescent="0.45">
      <c r="A160">
        <v>10398</v>
      </c>
      <c r="B160" t="s">
        <v>504</v>
      </c>
      <c r="C160" t="s">
        <v>864</v>
      </c>
      <c r="D160" s="14">
        <v>35429</v>
      </c>
      <c r="E160" s="14">
        <v>35439</v>
      </c>
      <c r="F160" t="s">
        <v>855</v>
      </c>
      <c r="G160" s="10">
        <v>98.075999999999993</v>
      </c>
      <c r="H160" t="s">
        <v>231</v>
      </c>
    </row>
    <row r="161" spans="1:8" x14ac:dyDescent="0.45">
      <c r="A161">
        <v>10399</v>
      </c>
      <c r="B161" t="s">
        <v>586</v>
      </c>
      <c r="C161" t="s">
        <v>863</v>
      </c>
      <c r="D161" s="14">
        <v>35430</v>
      </c>
      <c r="E161" s="14">
        <v>35438</v>
      </c>
      <c r="F161" t="s">
        <v>855</v>
      </c>
      <c r="G161" s="10">
        <v>30.096</v>
      </c>
      <c r="H161" t="s">
        <v>523</v>
      </c>
    </row>
    <row r="162" spans="1:8" x14ac:dyDescent="0.45">
      <c r="A162">
        <v>10400</v>
      </c>
      <c r="B162" t="s">
        <v>136</v>
      </c>
      <c r="C162" t="s">
        <v>862</v>
      </c>
      <c r="D162" s="14">
        <v>35431</v>
      </c>
      <c r="E162" s="14">
        <v>35446</v>
      </c>
      <c r="F162" t="s">
        <v>855</v>
      </c>
      <c r="G162" s="10">
        <v>92.322999999999993</v>
      </c>
      <c r="H162" t="s">
        <v>29</v>
      </c>
    </row>
    <row r="163" spans="1:8" x14ac:dyDescent="0.45">
      <c r="A163">
        <v>10401</v>
      </c>
      <c r="B163" t="s">
        <v>462</v>
      </c>
      <c r="C163" t="s">
        <v>862</v>
      </c>
      <c r="D163" s="14">
        <v>35431</v>
      </c>
      <c r="E163" s="14">
        <v>35440</v>
      </c>
      <c r="F163" t="s">
        <v>857</v>
      </c>
      <c r="G163" s="10">
        <v>13.760999999999999</v>
      </c>
      <c r="H163" t="s">
        <v>231</v>
      </c>
    </row>
    <row r="164" spans="1:8" x14ac:dyDescent="0.45">
      <c r="A164">
        <v>10402</v>
      </c>
      <c r="B164" t="s">
        <v>142</v>
      </c>
      <c r="C164" t="s">
        <v>863</v>
      </c>
      <c r="D164" s="14">
        <v>35432</v>
      </c>
      <c r="E164" s="14">
        <v>35440</v>
      </c>
      <c r="F164" t="s">
        <v>859</v>
      </c>
      <c r="G164" s="10">
        <v>74.668000000000006</v>
      </c>
      <c r="H164" t="s">
        <v>147</v>
      </c>
    </row>
    <row r="165" spans="1:8" x14ac:dyDescent="0.45">
      <c r="A165">
        <v>10403</v>
      </c>
      <c r="B165" t="s">
        <v>142</v>
      </c>
      <c r="C165" t="s">
        <v>858</v>
      </c>
      <c r="D165" s="14">
        <v>35433</v>
      </c>
      <c r="E165" s="14">
        <v>35439</v>
      </c>
      <c r="F165" t="s">
        <v>855</v>
      </c>
      <c r="G165" s="10">
        <v>81.168999999999997</v>
      </c>
      <c r="H165" t="s">
        <v>147</v>
      </c>
    </row>
    <row r="166" spans="1:8" x14ac:dyDescent="0.45">
      <c r="A166">
        <v>10404</v>
      </c>
      <c r="B166" t="s">
        <v>356</v>
      </c>
      <c r="C166" t="s">
        <v>864</v>
      </c>
      <c r="D166" s="14">
        <v>35433</v>
      </c>
      <c r="E166" s="14">
        <v>35438</v>
      </c>
      <c r="F166" t="s">
        <v>857</v>
      </c>
      <c r="G166" s="10">
        <v>171.56700000000001</v>
      </c>
      <c r="H166" t="s">
        <v>193</v>
      </c>
    </row>
    <row r="167" spans="1:8" x14ac:dyDescent="0.45">
      <c r="A167">
        <v>10405</v>
      </c>
      <c r="B167" t="s">
        <v>341</v>
      </c>
      <c r="C167" t="s">
        <v>862</v>
      </c>
      <c r="D167" s="14">
        <v>35436</v>
      </c>
      <c r="E167" s="14">
        <v>35452</v>
      </c>
      <c r="F167" t="s">
        <v>857</v>
      </c>
      <c r="G167" s="10">
        <v>38.302</v>
      </c>
      <c r="H167" t="s">
        <v>240</v>
      </c>
    </row>
    <row r="168" spans="1:8" x14ac:dyDescent="0.45">
      <c r="A168">
        <v>10406</v>
      </c>
      <c r="B168" t="s">
        <v>444</v>
      </c>
      <c r="C168" t="s">
        <v>865</v>
      </c>
      <c r="D168" s="14">
        <v>35437</v>
      </c>
      <c r="E168" s="14">
        <v>35443</v>
      </c>
      <c r="F168" t="s">
        <v>857</v>
      </c>
      <c r="G168" s="10">
        <v>118.84399999999999</v>
      </c>
      <c r="H168" t="s">
        <v>113</v>
      </c>
    </row>
    <row r="169" spans="1:8" x14ac:dyDescent="0.45">
      <c r="A169">
        <v>10407</v>
      </c>
      <c r="B169" t="s">
        <v>405</v>
      </c>
      <c r="C169" t="s">
        <v>864</v>
      </c>
      <c r="D169" s="14">
        <v>35437</v>
      </c>
      <c r="E169" s="14">
        <v>35460</v>
      </c>
      <c r="F169" t="s">
        <v>859</v>
      </c>
      <c r="G169" s="10">
        <v>100.628</v>
      </c>
      <c r="H169" t="s">
        <v>7</v>
      </c>
    </row>
    <row r="170" spans="1:8" x14ac:dyDescent="0.45">
      <c r="A170">
        <v>10408</v>
      </c>
      <c r="B170" t="s">
        <v>162</v>
      </c>
      <c r="C170" t="s">
        <v>863</v>
      </c>
      <c r="D170" s="14">
        <v>35438</v>
      </c>
      <c r="E170" s="14">
        <v>35444</v>
      </c>
      <c r="F170" t="s">
        <v>857</v>
      </c>
      <c r="G170" s="10">
        <v>12.385999999999999</v>
      </c>
      <c r="H170" t="s">
        <v>52</v>
      </c>
    </row>
    <row r="171" spans="1:8" x14ac:dyDescent="0.45">
      <c r="A171">
        <v>10409</v>
      </c>
      <c r="B171" t="s">
        <v>392</v>
      </c>
      <c r="C171" t="s">
        <v>860</v>
      </c>
      <c r="D171" s="14">
        <v>35439</v>
      </c>
      <c r="E171" s="14">
        <v>35444</v>
      </c>
      <c r="F171" t="s">
        <v>857</v>
      </c>
      <c r="G171" s="10">
        <v>32.813000000000002</v>
      </c>
      <c r="H171" t="s">
        <v>90</v>
      </c>
    </row>
    <row r="172" spans="1:8" x14ac:dyDescent="0.45">
      <c r="A172">
        <v>10410</v>
      </c>
      <c r="B172" t="s">
        <v>70</v>
      </c>
      <c r="C172" t="s">
        <v>860</v>
      </c>
      <c r="D172" s="14">
        <v>35440</v>
      </c>
      <c r="E172" s="14">
        <v>35445</v>
      </c>
      <c r="F172" t="s">
        <v>855</v>
      </c>
      <c r="G172" s="10">
        <v>2.64</v>
      </c>
      <c r="H172" t="s">
        <v>76</v>
      </c>
    </row>
    <row r="173" spans="1:8" x14ac:dyDescent="0.45">
      <c r="A173">
        <v>10411</v>
      </c>
      <c r="B173" t="s">
        <v>70</v>
      </c>
      <c r="C173" t="s">
        <v>861</v>
      </c>
      <c r="D173" s="14">
        <v>35440</v>
      </c>
      <c r="E173" s="14">
        <v>35451</v>
      </c>
      <c r="F173" t="s">
        <v>855</v>
      </c>
      <c r="G173" s="10">
        <v>26.015000000000001</v>
      </c>
      <c r="H173" t="s">
        <v>76</v>
      </c>
    </row>
    <row r="174" spans="1:8" x14ac:dyDescent="0.45">
      <c r="A174">
        <v>10412</v>
      </c>
      <c r="B174" t="s">
        <v>614</v>
      </c>
      <c r="C174" t="s">
        <v>863</v>
      </c>
      <c r="D174" s="14">
        <v>35443</v>
      </c>
      <c r="E174" s="14">
        <v>35445</v>
      </c>
      <c r="F174" t="s">
        <v>859</v>
      </c>
      <c r="G174" s="10">
        <v>4.1470000000000002</v>
      </c>
      <c r="H174" t="s">
        <v>619</v>
      </c>
    </row>
    <row r="175" spans="1:8" x14ac:dyDescent="0.45">
      <c r="A175">
        <v>10413</v>
      </c>
      <c r="B175" t="s">
        <v>296</v>
      </c>
      <c r="C175" t="s">
        <v>860</v>
      </c>
      <c r="D175" s="14">
        <v>35444</v>
      </c>
      <c r="E175" s="14">
        <v>35446</v>
      </c>
      <c r="F175" t="s">
        <v>859</v>
      </c>
      <c r="G175" s="10">
        <v>105.226</v>
      </c>
      <c r="H175" t="s">
        <v>52</v>
      </c>
    </row>
    <row r="176" spans="1:8" x14ac:dyDescent="0.45">
      <c r="A176">
        <v>10414</v>
      </c>
      <c r="B176" t="s">
        <v>150</v>
      </c>
      <c r="C176" t="s">
        <v>864</v>
      </c>
      <c r="D176" s="14">
        <v>35444</v>
      </c>
      <c r="E176" s="14">
        <v>35447</v>
      </c>
      <c r="F176" t="s">
        <v>855</v>
      </c>
      <c r="G176" s="10">
        <v>23.628</v>
      </c>
      <c r="H176" t="s">
        <v>113</v>
      </c>
    </row>
    <row r="177" spans="1:8" x14ac:dyDescent="0.45">
      <c r="A177">
        <v>10415</v>
      </c>
      <c r="B177" t="s">
        <v>259</v>
      </c>
      <c r="C177" t="s">
        <v>860</v>
      </c>
      <c r="D177" s="14">
        <v>35445</v>
      </c>
      <c r="E177" s="14">
        <v>35454</v>
      </c>
      <c r="F177" t="s">
        <v>857</v>
      </c>
      <c r="G177" s="10">
        <v>0.22</v>
      </c>
      <c r="H177" t="s">
        <v>231</v>
      </c>
    </row>
    <row r="178" spans="1:8" x14ac:dyDescent="0.45">
      <c r="A178">
        <v>10416</v>
      </c>
      <c r="B178" t="s">
        <v>614</v>
      </c>
      <c r="C178" t="s">
        <v>863</v>
      </c>
      <c r="D178" s="14">
        <v>35446</v>
      </c>
      <c r="E178" s="14">
        <v>35457</v>
      </c>
      <c r="F178" t="s">
        <v>855</v>
      </c>
      <c r="G178" s="10">
        <v>24.992000000000001</v>
      </c>
      <c r="H178" t="s">
        <v>619</v>
      </c>
    </row>
    <row r="179" spans="1:8" x14ac:dyDescent="0.45">
      <c r="A179">
        <v>10417</v>
      </c>
      <c r="B179" t="s">
        <v>518</v>
      </c>
      <c r="C179" t="s">
        <v>858</v>
      </c>
      <c r="D179" s="14">
        <v>35446</v>
      </c>
      <c r="E179" s="14">
        <v>35458</v>
      </c>
      <c r="F179" t="s">
        <v>855</v>
      </c>
      <c r="G179" s="10">
        <v>77.319000000000003</v>
      </c>
      <c r="H179" t="s">
        <v>523</v>
      </c>
    </row>
    <row r="180" spans="1:8" x14ac:dyDescent="0.45">
      <c r="A180">
        <v>10418</v>
      </c>
      <c r="B180" t="s">
        <v>450</v>
      </c>
      <c r="C180" t="s">
        <v>858</v>
      </c>
      <c r="D180" s="14">
        <v>35447</v>
      </c>
      <c r="E180" s="14">
        <v>35454</v>
      </c>
      <c r="F180" t="s">
        <v>857</v>
      </c>
      <c r="G180" s="10">
        <v>19.305</v>
      </c>
      <c r="H180" t="s">
        <v>7</v>
      </c>
    </row>
    <row r="181" spans="1:8" x14ac:dyDescent="0.45">
      <c r="A181">
        <v>10419</v>
      </c>
      <c r="B181" t="s">
        <v>483</v>
      </c>
      <c r="C181" t="s">
        <v>858</v>
      </c>
      <c r="D181" s="14">
        <v>35450</v>
      </c>
      <c r="E181" s="14">
        <v>35460</v>
      </c>
      <c r="F181" t="s">
        <v>859</v>
      </c>
      <c r="G181" s="10">
        <v>151.08500000000001</v>
      </c>
      <c r="H181" t="s">
        <v>104</v>
      </c>
    </row>
    <row r="182" spans="1:8" x14ac:dyDescent="0.45">
      <c r="A182">
        <v>10420</v>
      </c>
      <c r="B182" t="s">
        <v>622</v>
      </c>
      <c r="C182" t="s">
        <v>860</v>
      </c>
      <c r="D182" s="14">
        <v>35451</v>
      </c>
      <c r="E182" s="14">
        <v>35457</v>
      </c>
      <c r="F182" t="s">
        <v>857</v>
      </c>
      <c r="G182" s="10">
        <v>48.531999999999996</v>
      </c>
      <c r="H182" t="s">
        <v>113</v>
      </c>
    </row>
    <row r="183" spans="1:8" x14ac:dyDescent="0.45">
      <c r="A183">
        <v>10421</v>
      </c>
      <c r="B183" t="s">
        <v>438</v>
      </c>
      <c r="C183" t="s">
        <v>863</v>
      </c>
      <c r="D183" s="14">
        <v>35451</v>
      </c>
      <c r="E183" s="14">
        <v>35457</v>
      </c>
      <c r="F183" t="s">
        <v>857</v>
      </c>
      <c r="G183" s="10">
        <v>109.15300000000001</v>
      </c>
      <c r="H183" t="s">
        <v>113</v>
      </c>
    </row>
    <row r="184" spans="1:8" x14ac:dyDescent="0.45">
      <c r="A184">
        <v>10422</v>
      </c>
      <c r="B184" t="s">
        <v>188</v>
      </c>
      <c r="C184" t="s">
        <v>864</v>
      </c>
      <c r="D184" s="14">
        <v>35452</v>
      </c>
      <c r="E184" s="14">
        <v>35461</v>
      </c>
      <c r="F184" t="s">
        <v>857</v>
      </c>
      <c r="G184" s="10">
        <v>3.3220000000000001</v>
      </c>
      <c r="H184" t="s">
        <v>193</v>
      </c>
    </row>
    <row r="185" spans="1:8" x14ac:dyDescent="0.45">
      <c r="A185">
        <v>10423</v>
      </c>
      <c r="B185" t="s">
        <v>218</v>
      </c>
      <c r="C185" t="s">
        <v>856</v>
      </c>
      <c r="D185" s="14">
        <v>35453</v>
      </c>
      <c r="E185" s="14">
        <v>35485</v>
      </c>
      <c r="F185" t="s">
        <v>855</v>
      </c>
      <c r="G185" s="10">
        <v>26.95</v>
      </c>
      <c r="H185" t="s">
        <v>113</v>
      </c>
    </row>
    <row r="186" spans="1:8" x14ac:dyDescent="0.45">
      <c r="A186">
        <v>10424</v>
      </c>
      <c r="B186" t="s">
        <v>371</v>
      </c>
      <c r="C186" t="s">
        <v>865</v>
      </c>
      <c r="D186" s="14">
        <v>35453</v>
      </c>
      <c r="E186" s="14">
        <v>35457</v>
      </c>
      <c r="F186" t="s">
        <v>859</v>
      </c>
      <c r="G186" s="10">
        <v>407.67099999999999</v>
      </c>
      <c r="H186" t="s">
        <v>76</v>
      </c>
    </row>
    <row r="187" spans="1:8" x14ac:dyDescent="0.45">
      <c r="A187">
        <v>10425</v>
      </c>
      <c r="B187" t="s">
        <v>296</v>
      </c>
      <c r="C187" t="s">
        <v>856</v>
      </c>
      <c r="D187" s="14">
        <v>35454</v>
      </c>
      <c r="E187" s="14">
        <v>35475</v>
      </c>
      <c r="F187" t="s">
        <v>859</v>
      </c>
      <c r="G187" s="10">
        <v>8.7230000000000008</v>
      </c>
      <c r="H187" t="s">
        <v>52</v>
      </c>
    </row>
    <row r="188" spans="1:8" x14ac:dyDescent="0.45">
      <c r="A188">
        <v>10426</v>
      </c>
      <c r="B188" t="s">
        <v>204</v>
      </c>
      <c r="C188" t="s">
        <v>858</v>
      </c>
      <c r="D188" s="14">
        <v>35457</v>
      </c>
      <c r="E188" s="14">
        <v>35467</v>
      </c>
      <c r="F188" t="s">
        <v>857</v>
      </c>
      <c r="G188" s="10">
        <v>20.559000000000001</v>
      </c>
      <c r="H188" t="s">
        <v>60</v>
      </c>
    </row>
    <row r="189" spans="1:8" x14ac:dyDescent="0.45">
      <c r="A189">
        <v>10427</v>
      </c>
      <c r="B189" t="s">
        <v>425</v>
      </c>
      <c r="C189" t="s">
        <v>858</v>
      </c>
      <c r="D189" s="14">
        <v>35457</v>
      </c>
      <c r="E189" s="14">
        <v>35492</v>
      </c>
      <c r="F189" t="s">
        <v>859</v>
      </c>
      <c r="G189" s="10">
        <v>34.418999999999997</v>
      </c>
      <c r="H189" t="s">
        <v>147</v>
      </c>
    </row>
    <row r="190" spans="1:8" x14ac:dyDescent="0.45">
      <c r="A190">
        <v>10428</v>
      </c>
      <c r="B190" t="s">
        <v>470</v>
      </c>
      <c r="C190" t="s">
        <v>865</v>
      </c>
      <c r="D190" s="14">
        <v>35458</v>
      </c>
      <c r="E190" s="14">
        <v>35465</v>
      </c>
      <c r="F190" t="s">
        <v>857</v>
      </c>
      <c r="G190" s="10">
        <v>12.199</v>
      </c>
      <c r="H190" t="s">
        <v>193</v>
      </c>
    </row>
    <row r="191" spans="1:8" x14ac:dyDescent="0.45">
      <c r="A191">
        <v>10429</v>
      </c>
      <c r="B191" t="s">
        <v>266</v>
      </c>
      <c r="C191" t="s">
        <v>860</v>
      </c>
      <c r="D191" s="14">
        <v>35459</v>
      </c>
      <c r="E191" s="14">
        <v>35468</v>
      </c>
      <c r="F191" t="s">
        <v>859</v>
      </c>
      <c r="G191" s="10">
        <v>62.292999999999999</v>
      </c>
      <c r="H191" t="s">
        <v>271</v>
      </c>
    </row>
    <row r="192" spans="1:8" x14ac:dyDescent="0.45">
      <c r="A192">
        <v>10430</v>
      </c>
      <c r="B192" t="s">
        <v>142</v>
      </c>
      <c r="C192" t="s">
        <v>858</v>
      </c>
      <c r="D192" s="14">
        <v>35460</v>
      </c>
      <c r="E192" s="14">
        <v>35464</v>
      </c>
      <c r="F192" t="s">
        <v>857</v>
      </c>
      <c r="G192" s="10">
        <v>504.65800000000002</v>
      </c>
      <c r="H192" t="s">
        <v>147</v>
      </c>
    </row>
    <row r="193" spans="1:8" x14ac:dyDescent="0.45">
      <c r="A193">
        <v>10431</v>
      </c>
      <c r="B193" t="s">
        <v>70</v>
      </c>
      <c r="C193" t="s">
        <v>858</v>
      </c>
      <c r="D193" s="14">
        <v>35460</v>
      </c>
      <c r="E193" s="14">
        <v>35468</v>
      </c>
      <c r="F193" t="s">
        <v>859</v>
      </c>
      <c r="G193" s="10">
        <v>48.587000000000003</v>
      </c>
      <c r="H193" t="s">
        <v>76</v>
      </c>
    </row>
    <row r="194" spans="1:8" x14ac:dyDescent="0.45">
      <c r="A194">
        <v>10432</v>
      </c>
      <c r="B194" t="s">
        <v>532</v>
      </c>
      <c r="C194" t="s">
        <v>860</v>
      </c>
      <c r="D194" s="14">
        <v>35461</v>
      </c>
      <c r="E194" s="14">
        <v>35468</v>
      </c>
      <c r="F194" t="s">
        <v>859</v>
      </c>
      <c r="G194" s="10">
        <v>4.774</v>
      </c>
      <c r="H194" t="s">
        <v>231</v>
      </c>
    </row>
    <row r="195" spans="1:8" x14ac:dyDescent="0.45">
      <c r="A195">
        <v>10433</v>
      </c>
      <c r="B195" t="s">
        <v>432</v>
      </c>
      <c r="C195" t="s">
        <v>860</v>
      </c>
      <c r="D195" s="14">
        <v>35464</v>
      </c>
      <c r="E195" s="14">
        <v>35493</v>
      </c>
      <c r="F195" t="s">
        <v>855</v>
      </c>
      <c r="G195" s="10">
        <v>81.212999999999994</v>
      </c>
      <c r="H195" t="s">
        <v>201</v>
      </c>
    </row>
    <row r="196" spans="1:8" x14ac:dyDescent="0.45">
      <c r="A196">
        <v>10434</v>
      </c>
      <c r="B196" t="s">
        <v>169</v>
      </c>
      <c r="C196" t="s">
        <v>860</v>
      </c>
      <c r="D196" s="14">
        <v>35464</v>
      </c>
      <c r="E196" s="14">
        <v>35474</v>
      </c>
      <c r="F196" t="s">
        <v>859</v>
      </c>
      <c r="G196" s="10">
        <v>19.712</v>
      </c>
      <c r="H196" t="s">
        <v>37</v>
      </c>
    </row>
    <row r="197" spans="1:8" x14ac:dyDescent="0.45">
      <c r="A197">
        <v>10435</v>
      </c>
      <c r="B197" t="s">
        <v>116</v>
      </c>
      <c r="C197" t="s">
        <v>863</v>
      </c>
      <c r="D197" s="14">
        <v>35465</v>
      </c>
      <c r="E197" s="14">
        <v>35468</v>
      </c>
      <c r="F197" t="s">
        <v>859</v>
      </c>
      <c r="G197" s="10">
        <v>10.131</v>
      </c>
      <c r="H197" t="s">
        <v>29</v>
      </c>
    </row>
    <row r="198" spans="1:8" x14ac:dyDescent="0.45">
      <c r="A198">
        <v>10436</v>
      </c>
      <c r="B198" t="s">
        <v>47</v>
      </c>
      <c r="C198" t="s">
        <v>860</v>
      </c>
      <c r="D198" s="14">
        <v>35466</v>
      </c>
      <c r="E198" s="14">
        <v>35472</v>
      </c>
      <c r="F198" t="s">
        <v>859</v>
      </c>
      <c r="G198" s="10">
        <v>172.32599999999999</v>
      </c>
      <c r="H198" t="s">
        <v>52</v>
      </c>
    </row>
    <row r="199" spans="1:8" x14ac:dyDescent="0.45">
      <c r="A199">
        <v>10437</v>
      </c>
      <c r="B199" t="s">
        <v>614</v>
      </c>
      <c r="C199" t="s">
        <v>863</v>
      </c>
      <c r="D199" s="14">
        <v>35466</v>
      </c>
      <c r="E199" s="14">
        <v>35473</v>
      </c>
      <c r="F199" t="s">
        <v>857</v>
      </c>
      <c r="G199" s="10">
        <v>21.966999999999999</v>
      </c>
      <c r="H199" t="s">
        <v>619</v>
      </c>
    </row>
    <row r="200" spans="1:8" x14ac:dyDescent="0.45">
      <c r="A200">
        <v>10438</v>
      </c>
      <c r="B200" t="s">
        <v>561</v>
      </c>
      <c r="C200" t="s">
        <v>860</v>
      </c>
      <c r="D200" s="14">
        <v>35467</v>
      </c>
      <c r="E200" s="14">
        <v>35475</v>
      </c>
      <c r="F200" t="s">
        <v>859</v>
      </c>
      <c r="G200" s="10">
        <v>9.0640000000000001</v>
      </c>
      <c r="H200" t="s">
        <v>7</v>
      </c>
    </row>
    <row r="201" spans="1:8" x14ac:dyDescent="0.45">
      <c r="A201">
        <v>10439</v>
      </c>
      <c r="B201" t="s">
        <v>371</v>
      </c>
      <c r="C201" t="s">
        <v>856</v>
      </c>
      <c r="D201" s="14">
        <v>35468</v>
      </c>
      <c r="E201" s="14">
        <v>35471</v>
      </c>
      <c r="F201" t="s">
        <v>855</v>
      </c>
      <c r="G201" s="10">
        <v>4.4770000000000003</v>
      </c>
      <c r="H201" t="s">
        <v>76</v>
      </c>
    </row>
    <row r="202" spans="1:8" x14ac:dyDescent="0.45">
      <c r="A202">
        <v>10440</v>
      </c>
      <c r="B202" t="s">
        <v>504</v>
      </c>
      <c r="C202" t="s">
        <v>858</v>
      </c>
      <c r="D202" s="14">
        <v>35471</v>
      </c>
      <c r="E202" s="14">
        <v>35489</v>
      </c>
      <c r="F202" t="s">
        <v>859</v>
      </c>
      <c r="G202" s="10">
        <v>95.183000000000007</v>
      </c>
      <c r="H202" t="s">
        <v>231</v>
      </c>
    </row>
    <row r="203" spans="1:8" x14ac:dyDescent="0.45">
      <c r="A203">
        <v>10441</v>
      </c>
      <c r="B203" t="s">
        <v>397</v>
      </c>
      <c r="C203" t="s">
        <v>860</v>
      </c>
      <c r="D203" s="14">
        <v>35471</v>
      </c>
      <c r="E203" s="14">
        <v>35503</v>
      </c>
      <c r="F203" t="s">
        <v>859</v>
      </c>
      <c r="G203" s="10">
        <v>80.322000000000003</v>
      </c>
      <c r="H203" t="s">
        <v>231</v>
      </c>
    </row>
    <row r="204" spans="1:8" x14ac:dyDescent="0.45">
      <c r="A204">
        <v>10442</v>
      </c>
      <c r="B204" t="s">
        <v>142</v>
      </c>
      <c r="C204" t="s">
        <v>860</v>
      </c>
      <c r="D204" s="14">
        <v>35472</v>
      </c>
      <c r="E204" s="14">
        <v>35479</v>
      </c>
      <c r="F204" t="s">
        <v>859</v>
      </c>
      <c r="G204" s="10">
        <v>52.734000000000002</v>
      </c>
      <c r="H204" t="s">
        <v>147</v>
      </c>
    </row>
    <row r="205" spans="1:8" x14ac:dyDescent="0.45">
      <c r="A205">
        <v>10443</v>
      </c>
      <c r="B205" t="s">
        <v>470</v>
      </c>
      <c r="C205" t="s">
        <v>863</v>
      </c>
      <c r="D205" s="14">
        <v>35473</v>
      </c>
      <c r="E205" s="14">
        <v>35475</v>
      </c>
      <c r="F205" t="s">
        <v>857</v>
      </c>
      <c r="G205" s="10">
        <v>15.345000000000001</v>
      </c>
      <c r="H205" t="s">
        <v>193</v>
      </c>
    </row>
    <row r="206" spans="1:8" x14ac:dyDescent="0.45">
      <c r="A206">
        <v>10444</v>
      </c>
      <c r="B206" t="s">
        <v>32</v>
      </c>
      <c r="C206" t="s">
        <v>860</v>
      </c>
      <c r="D206" s="14">
        <v>35473</v>
      </c>
      <c r="E206" s="14">
        <v>35482</v>
      </c>
      <c r="F206" t="s">
        <v>855</v>
      </c>
      <c r="G206" s="10">
        <v>3.85</v>
      </c>
      <c r="H206" t="s">
        <v>37</v>
      </c>
    </row>
    <row r="207" spans="1:8" x14ac:dyDescent="0.45">
      <c r="A207">
        <v>10445</v>
      </c>
      <c r="B207" t="s">
        <v>32</v>
      </c>
      <c r="C207" t="s">
        <v>860</v>
      </c>
      <c r="D207" s="14">
        <v>35474</v>
      </c>
      <c r="E207" s="14">
        <v>35481</v>
      </c>
      <c r="F207" t="s">
        <v>857</v>
      </c>
      <c r="G207" s="10">
        <v>10.23</v>
      </c>
      <c r="H207" t="s">
        <v>37</v>
      </c>
    </row>
    <row r="208" spans="1:8" x14ac:dyDescent="0.45">
      <c r="A208">
        <v>10446</v>
      </c>
      <c r="B208" t="s">
        <v>561</v>
      </c>
      <c r="C208" t="s">
        <v>856</v>
      </c>
      <c r="D208" s="14">
        <v>35475</v>
      </c>
      <c r="E208" s="14">
        <v>35480</v>
      </c>
      <c r="F208" t="s">
        <v>857</v>
      </c>
      <c r="G208" s="10">
        <v>16.148</v>
      </c>
      <c r="H208" t="s">
        <v>7</v>
      </c>
    </row>
    <row r="209" spans="1:8" x14ac:dyDescent="0.45">
      <c r="A209">
        <v>10447</v>
      </c>
      <c r="B209" t="s">
        <v>477</v>
      </c>
      <c r="C209" t="s">
        <v>858</v>
      </c>
      <c r="D209" s="14">
        <v>35475</v>
      </c>
      <c r="E209" s="14">
        <v>35496</v>
      </c>
      <c r="F209" t="s">
        <v>859</v>
      </c>
      <c r="G209" s="10">
        <v>75.525999999999996</v>
      </c>
      <c r="H209" t="s">
        <v>113</v>
      </c>
    </row>
    <row r="210" spans="1:8" x14ac:dyDescent="0.45">
      <c r="A210">
        <v>10448</v>
      </c>
      <c r="B210" t="s">
        <v>457</v>
      </c>
      <c r="C210" t="s">
        <v>858</v>
      </c>
      <c r="D210" s="14">
        <v>35478</v>
      </c>
      <c r="E210" s="14">
        <v>35485</v>
      </c>
      <c r="F210" t="s">
        <v>859</v>
      </c>
      <c r="G210" s="10">
        <v>42.701999999999998</v>
      </c>
      <c r="H210" t="s">
        <v>90</v>
      </c>
    </row>
    <row r="211" spans="1:8" x14ac:dyDescent="0.45">
      <c r="A211">
        <v>10449</v>
      </c>
      <c r="B211" t="s">
        <v>47</v>
      </c>
      <c r="C211" t="s">
        <v>860</v>
      </c>
      <c r="D211" s="14">
        <v>35479</v>
      </c>
      <c r="E211" s="14">
        <v>35488</v>
      </c>
      <c r="F211" t="s">
        <v>859</v>
      </c>
      <c r="G211" s="10">
        <v>58.63</v>
      </c>
      <c r="H211" t="s">
        <v>52</v>
      </c>
    </row>
    <row r="212" spans="1:8" x14ac:dyDescent="0.45">
      <c r="A212">
        <v>10450</v>
      </c>
      <c r="B212" t="s">
        <v>593</v>
      </c>
      <c r="C212" t="s">
        <v>863</v>
      </c>
      <c r="D212" s="14">
        <v>35480</v>
      </c>
      <c r="E212" s="14">
        <v>35500</v>
      </c>
      <c r="F212" t="s">
        <v>859</v>
      </c>
      <c r="G212" s="10">
        <v>7.9530000000000003</v>
      </c>
      <c r="H212" t="s">
        <v>52</v>
      </c>
    </row>
    <row r="213" spans="1:8" x14ac:dyDescent="0.45">
      <c r="A213">
        <v>10451</v>
      </c>
      <c r="B213" t="s">
        <v>450</v>
      </c>
      <c r="C213" t="s">
        <v>858</v>
      </c>
      <c r="D213" s="14">
        <v>35480</v>
      </c>
      <c r="E213" s="14">
        <v>35501</v>
      </c>
      <c r="F213" t="s">
        <v>855</v>
      </c>
      <c r="G213" s="10">
        <v>207.999</v>
      </c>
      <c r="H213" t="s">
        <v>7</v>
      </c>
    </row>
    <row r="214" spans="1:8" x14ac:dyDescent="0.45">
      <c r="A214">
        <v>10452</v>
      </c>
      <c r="B214" t="s">
        <v>504</v>
      </c>
      <c r="C214" t="s">
        <v>863</v>
      </c>
      <c r="D214" s="14">
        <v>35481</v>
      </c>
      <c r="E214" s="14">
        <v>35487</v>
      </c>
      <c r="F214" t="s">
        <v>857</v>
      </c>
      <c r="G214" s="10">
        <v>154.286</v>
      </c>
      <c r="H214" t="s">
        <v>231</v>
      </c>
    </row>
    <row r="215" spans="1:8" x14ac:dyDescent="0.45">
      <c r="A215">
        <v>10453</v>
      </c>
      <c r="B215" t="s">
        <v>24</v>
      </c>
      <c r="C215" t="s">
        <v>862</v>
      </c>
      <c r="D215" s="14">
        <v>35482</v>
      </c>
      <c r="E215" s="14">
        <v>35487</v>
      </c>
      <c r="F215" t="s">
        <v>859</v>
      </c>
      <c r="G215" s="10">
        <v>27.896000000000001</v>
      </c>
      <c r="H215" t="s">
        <v>29</v>
      </c>
    </row>
    <row r="216" spans="1:8" x14ac:dyDescent="0.45">
      <c r="A216">
        <v>10454</v>
      </c>
      <c r="B216" t="s">
        <v>296</v>
      </c>
      <c r="C216" t="s">
        <v>858</v>
      </c>
      <c r="D216" s="14">
        <v>35482</v>
      </c>
      <c r="E216" s="14">
        <v>35486</v>
      </c>
      <c r="F216" t="s">
        <v>855</v>
      </c>
      <c r="G216" s="10">
        <v>3.0139999999999998</v>
      </c>
      <c r="H216" t="s">
        <v>52</v>
      </c>
    </row>
    <row r="217" spans="1:8" x14ac:dyDescent="0.45">
      <c r="A217">
        <v>10455</v>
      </c>
      <c r="B217" t="s">
        <v>614</v>
      </c>
      <c r="C217" t="s">
        <v>863</v>
      </c>
      <c r="D217" s="14">
        <v>35485</v>
      </c>
      <c r="E217" s="14">
        <v>35492</v>
      </c>
      <c r="F217" t="s">
        <v>859</v>
      </c>
      <c r="G217" s="10">
        <v>198.495</v>
      </c>
      <c r="H217" t="s">
        <v>619</v>
      </c>
    </row>
    <row r="218" spans="1:8" x14ac:dyDescent="0.45">
      <c r="A218">
        <v>10456</v>
      </c>
      <c r="B218" t="s">
        <v>282</v>
      </c>
      <c r="C218" t="s">
        <v>863</v>
      </c>
      <c r="D218" s="14">
        <v>35486</v>
      </c>
      <c r="E218" s="14">
        <v>35489</v>
      </c>
      <c r="F218" t="s">
        <v>859</v>
      </c>
      <c r="G218" s="10">
        <v>8.9320000000000004</v>
      </c>
      <c r="H218" t="s">
        <v>7</v>
      </c>
    </row>
    <row r="219" spans="1:8" x14ac:dyDescent="0.45">
      <c r="A219">
        <v>10457</v>
      </c>
      <c r="B219" t="s">
        <v>282</v>
      </c>
      <c r="C219" t="s">
        <v>864</v>
      </c>
      <c r="D219" s="14">
        <v>35486</v>
      </c>
      <c r="E219" s="14">
        <v>35492</v>
      </c>
      <c r="F219" t="s">
        <v>857</v>
      </c>
      <c r="G219" s="10">
        <v>12.727</v>
      </c>
      <c r="H219" t="s">
        <v>7</v>
      </c>
    </row>
    <row r="220" spans="1:8" x14ac:dyDescent="0.45">
      <c r="A220">
        <v>10458</v>
      </c>
      <c r="B220" t="s">
        <v>540</v>
      </c>
      <c r="C220" t="s">
        <v>865</v>
      </c>
      <c r="D220" s="14">
        <v>35487</v>
      </c>
      <c r="E220" s="14">
        <v>35493</v>
      </c>
      <c r="F220" t="s">
        <v>855</v>
      </c>
      <c r="G220" s="10">
        <v>161.76599999999999</v>
      </c>
      <c r="H220" t="s">
        <v>368</v>
      </c>
    </row>
    <row r="221" spans="1:8" x14ac:dyDescent="0.45">
      <c r="A221">
        <v>10459</v>
      </c>
      <c r="B221" t="s">
        <v>593</v>
      </c>
      <c r="C221" t="s">
        <v>858</v>
      </c>
      <c r="D221" s="14">
        <v>35488</v>
      </c>
      <c r="E221" s="14">
        <v>35489</v>
      </c>
      <c r="F221" t="s">
        <v>859</v>
      </c>
      <c r="G221" s="10">
        <v>27.599</v>
      </c>
      <c r="H221" t="s">
        <v>52</v>
      </c>
    </row>
    <row r="222" spans="1:8" x14ac:dyDescent="0.45">
      <c r="A222">
        <v>10460</v>
      </c>
      <c r="B222" t="s">
        <v>169</v>
      </c>
      <c r="C222" t="s">
        <v>863</v>
      </c>
      <c r="D222" s="14">
        <v>35489</v>
      </c>
      <c r="E222" s="14">
        <v>35492</v>
      </c>
      <c r="F222" t="s">
        <v>857</v>
      </c>
      <c r="G222" s="10">
        <v>17.896999999999998</v>
      </c>
      <c r="H222" t="s">
        <v>37</v>
      </c>
    </row>
    <row r="223" spans="1:8" x14ac:dyDescent="0.45">
      <c r="A223">
        <v>10461</v>
      </c>
      <c r="B223" t="s">
        <v>333</v>
      </c>
      <c r="C223" t="s">
        <v>862</v>
      </c>
      <c r="D223" s="14">
        <v>35489</v>
      </c>
      <c r="E223" s="14">
        <v>35494</v>
      </c>
      <c r="F223" t="s">
        <v>855</v>
      </c>
      <c r="G223" s="10">
        <v>163.471</v>
      </c>
      <c r="H223" t="s">
        <v>240</v>
      </c>
    </row>
    <row r="224" spans="1:8" x14ac:dyDescent="0.45">
      <c r="A224">
        <v>10462</v>
      </c>
      <c r="B224" t="s">
        <v>116</v>
      </c>
      <c r="C224" t="s">
        <v>864</v>
      </c>
      <c r="D224" s="14">
        <v>35492</v>
      </c>
      <c r="E224" s="14">
        <v>35507</v>
      </c>
      <c r="F224" t="s">
        <v>857</v>
      </c>
      <c r="G224" s="10">
        <v>6.7869999999999999</v>
      </c>
      <c r="H224" t="s">
        <v>29</v>
      </c>
    </row>
    <row r="225" spans="1:8" x14ac:dyDescent="0.45">
      <c r="A225">
        <v>10463</v>
      </c>
      <c r="B225" t="s">
        <v>540</v>
      </c>
      <c r="C225" t="s">
        <v>854</v>
      </c>
      <c r="D225" s="14">
        <v>35493</v>
      </c>
      <c r="E225" s="14">
        <v>35495</v>
      </c>
      <c r="F225" t="s">
        <v>855</v>
      </c>
      <c r="G225" s="10">
        <v>16.257999999999999</v>
      </c>
      <c r="H225" t="s">
        <v>368</v>
      </c>
    </row>
    <row r="226" spans="1:8" x14ac:dyDescent="0.45">
      <c r="A226">
        <v>10464</v>
      </c>
      <c r="B226" t="s">
        <v>196</v>
      </c>
      <c r="C226" t="s">
        <v>858</v>
      </c>
      <c r="D226" s="14">
        <v>35493</v>
      </c>
      <c r="E226" s="14">
        <v>35503</v>
      </c>
      <c r="F226" t="s">
        <v>859</v>
      </c>
      <c r="G226" s="10">
        <v>97.9</v>
      </c>
      <c r="H226" t="s">
        <v>201</v>
      </c>
    </row>
    <row r="227" spans="1:8" x14ac:dyDescent="0.45">
      <c r="A227">
        <v>10465</v>
      </c>
      <c r="B227" t="s">
        <v>586</v>
      </c>
      <c r="C227" t="s">
        <v>862</v>
      </c>
      <c r="D227" s="14">
        <v>35494</v>
      </c>
      <c r="E227" s="14">
        <v>35503</v>
      </c>
      <c r="F227" t="s">
        <v>855</v>
      </c>
      <c r="G227" s="10">
        <v>159.54400000000001</v>
      </c>
      <c r="H227" t="s">
        <v>523</v>
      </c>
    </row>
    <row r="228" spans="1:8" x14ac:dyDescent="0.45">
      <c r="A228">
        <v>10466</v>
      </c>
      <c r="B228" t="s">
        <v>107</v>
      </c>
      <c r="C228" t="s">
        <v>858</v>
      </c>
      <c r="D228" s="14">
        <v>35495</v>
      </c>
      <c r="E228" s="14">
        <v>35502</v>
      </c>
      <c r="F228" t="s">
        <v>857</v>
      </c>
      <c r="G228" s="10">
        <v>13.122999999999999</v>
      </c>
      <c r="H228" t="s">
        <v>113</v>
      </c>
    </row>
    <row r="229" spans="1:8" x14ac:dyDescent="0.45">
      <c r="A229">
        <v>10467</v>
      </c>
      <c r="B229" t="s">
        <v>356</v>
      </c>
      <c r="C229" t="s">
        <v>863</v>
      </c>
      <c r="D229" s="14">
        <v>35495</v>
      </c>
      <c r="E229" s="14">
        <v>35500</v>
      </c>
      <c r="F229" t="s">
        <v>859</v>
      </c>
      <c r="G229" s="10">
        <v>5.423</v>
      </c>
      <c r="H229" t="s">
        <v>193</v>
      </c>
    </row>
    <row r="230" spans="1:8" x14ac:dyDescent="0.45">
      <c r="A230">
        <v>10468</v>
      </c>
      <c r="B230" t="s">
        <v>282</v>
      </c>
      <c r="C230" t="s">
        <v>860</v>
      </c>
      <c r="D230" s="14">
        <v>35496</v>
      </c>
      <c r="E230" s="14">
        <v>35501</v>
      </c>
      <c r="F230" t="s">
        <v>855</v>
      </c>
      <c r="G230" s="10">
        <v>48.531999999999996</v>
      </c>
      <c r="H230" t="s">
        <v>7</v>
      </c>
    </row>
    <row r="231" spans="1:8" x14ac:dyDescent="0.45">
      <c r="A231">
        <v>10469</v>
      </c>
      <c r="B231" t="s">
        <v>629</v>
      </c>
      <c r="C231" t="s">
        <v>862</v>
      </c>
      <c r="D231" s="14">
        <v>35499</v>
      </c>
      <c r="E231" s="14">
        <v>35503</v>
      </c>
      <c r="F231" t="s">
        <v>857</v>
      </c>
      <c r="G231" s="10">
        <v>66.197999999999993</v>
      </c>
      <c r="H231" t="s">
        <v>231</v>
      </c>
    </row>
    <row r="232" spans="1:8" x14ac:dyDescent="0.45">
      <c r="A232">
        <v>10470</v>
      </c>
      <c r="B232" t="s">
        <v>63</v>
      </c>
      <c r="C232" t="s">
        <v>858</v>
      </c>
      <c r="D232" s="14">
        <v>35500</v>
      </c>
      <c r="E232" s="14">
        <v>35503</v>
      </c>
      <c r="F232" t="s">
        <v>859</v>
      </c>
      <c r="G232" s="10">
        <v>71.016000000000005</v>
      </c>
      <c r="H232" t="s">
        <v>52</v>
      </c>
    </row>
    <row r="233" spans="1:8" x14ac:dyDescent="0.45">
      <c r="A233">
        <v>10471</v>
      </c>
      <c r="B233" t="s">
        <v>79</v>
      </c>
      <c r="C233" t="s">
        <v>864</v>
      </c>
      <c r="D233" s="14">
        <v>35500</v>
      </c>
      <c r="E233" s="14">
        <v>35507</v>
      </c>
      <c r="F233" t="s">
        <v>855</v>
      </c>
      <c r="G233" s="10">
        <v>50.149000000000001</v>
      </c>
      <c r="H233" t="s">
        <v>29</v>
      </c>
    </row>
    <row r="234" spans="1:8" x14ac:dyDescent="0.45">
      <c r="A234">
        <v>10472</v>
      </c>
      <c r="B234" t="s">
        <v>512</v>
      </c>
      <c r="C234" t="s">
        <v>863</v>
      </c>
      <c r="D234" s="14">
        <v>35501</v>
      </c>
      <c r="E234" s="14">
        <v>35508</v>
      </c>
      <c r="F234" t="s">
        <v>857</v>
      </c>
      <c r="G234" s="10">
        <v>4.62</v>
      </c>
      <c r="H234" t="s">
        <v>29</v>
      </c>
    </row>
    <row r="235" spans="1:8" x14ac:dyDescent="0.45">
      <c r="A235">
        <v>10473</v>
      </c>
      <c r="B235" t="s">
        <v>274</v>
      </c>
      <c r="C235" t="s">
        <v>862</v>
      </c>
      <c r="D235" s="14">
        <v>35502</v>
      </c>
      <c r="E235" s="14">
        <v>35510</v>
      </c>
      <c r="F235" t="s">
        <v>855</v>
      </c>
      <c r="G235" s="10">
        <v>18.007000000000001</v>
      </c>
      <c r="H235" t="s">
        <v>29</v>
      </c>
    </row>
    <row r="236" spans="1:8" x14ac:dyDescent="0.45">
      <c r="A236">
        <v>10474</v>
      </c>
      <c r="B236" t="s">
        <v>419</v>
      </c>
      <c r="C236" t="s">
        <v>854</v>
      </c>
      <c r="D236" s="14">
        <v>35502</v>
      </c>
      <c r="E236" s="14">
        <v>35510</v>
      </c>
      <c r="F236" t="s">
        <v>859</v>
      </c>
      <c r="G236" s="10">
        <v>91.838999999999999</v>
      </c>
      <c r="H236" t="s">
        <v>15</v>
      </c>
    </row>
    <row r="237" spans="1:8" x14ac:dyDescent="0.45">
      <c r="A237">
        <v>10475</v>
      </c>
      <c r="B237" t="s">
        <v>540</v>
      </c>
      <c r="C237" t="s">
        <v>861</v>
      </c>
      <c r="D237" s="14">
        <v>35503</v>
      </c>
      <c r="E237" s="14">
        <v>35524</v>
      </c>
      <c r="F237" t="s">
        <v>857</v>
      </c>
      <c r="G237" s="10">
        <v>75.372</v>
      </c>
      <c r="H237" t="s">
        <v>368</v>
      </c>
    </row>
    <row r="238" spans="1:8" x14ac:dyDescent="0.45">
      <c r="A238">
        <v>10476</v>
      </c>
      <c r="B238" t="s">
        <v>251</v>
      </c>
      <c r="C238" t="s">
        <v>863</v>
      </c>
      <c r="D238" s="14">
        <v>35506</v>
      </c>
      <c r="E238" s="14">
        <v>35513</v>
      </c>
      <c r="F238" t="s">
        <v>855</v>
      </c>
      <c r="G238" s="10">
        <v>4.851</v>
      </c>
      <c r="H238" t="s">
        <v>240</v>
      </c>
    </row>
    <row r="239" spans="1:8" x14ac:dyDescent="0.45">
      <c r="A239">
        <v>10477</v>
      </c>
      <c r="B239" t="s">
        <v>432</v>
      </c>
      <c r="C239" t="s">
        <v>854</v>
      </c>
      <c r="D239" s="14">
        <v>35506</v>
      </c>
      <c r="E239" s="14">
        <v>35514</v>
      </c>
      <c r="F239" t="s">
        <v>859</v>
      </c>
      <c r="G239" s="10">
        <v>14.321999999999999</v>
      </c>
      <c r="H239" t="s">
        <v>201</v>
      </c>
    </row>
    <row r="240" spans="1:8" x14ac:dyDescent="0.45">
      <c r="A240">
        <v>10478</v>
      </c>
      <c r="B240" t="s">
        <v>593</v>
      </c>
      <c r="C240" t="s">
        <v>864</v>
      </c>
      <c r="D240" s="14">
        <v>35507</v>
      </c>
      <c r="E240" s="14">
        <v>35515</v>
      </c>
      <c r="F240" t="s">
        <v>855</v>
      </c>
      <c r="G240" s="10">
        <v>5.2910000000000004</v>
      </c>
      <c r="H240" t="s">
        <v>52</v>
      </c>
    </row>
    <row r="241" spans="1:8" x14ac:dyDescent="0.45">
      <c r="A241">
        <v>10479</v>
      </c>
      <c r="B241" t="s">
        <v>462</v>
      </c>
      <c r="C241" t="s">
        <v>860</v>
      </c>
      <c r="D241" s="14">
        <v>35508</v>
      </c>
      <c r="E241" s="14">
        <v>35510</v>
      </c>
      <c r="F241" t="s">
        <v>855</v>
      </c>
      <c r="G241" s="10">
        <v>779.84500000000003</v>
      </c>
      <c r="H241" t="s">
        <v>231</v>
      </c>
    </row>
    <row r="242" spans="1:8" x14ac:dyDescent="0.45">
      <c r="A242">
        <v>10480</v>
      </c>
      <c r="B242" t="s">
        <v>162</v>
      </c>
      <c r="C242" t="s">
        <v>856</v>
      </c>
      <c r="D242" s="14">
        <v>35509</v>
      </c>
      <c r="E242" s="14">
        <v>35513</v>
      </c>
      <c r="F242" t="s">
        <v>859</v>
      </c>
      <c r="G242" s="10">
        <v>1.4850000000000001</v>
      </c>
      <c r="H242" t="s">
        <v>52</v>
      </c>
    </row>
    <row r="243" spans="1:8" x14ac:dyDescent="0.45">
      <c r="A243">
        <v>10481</v>
      </c>
      <c r="B243" t="s">
        <v>477</v>
      </c>
      <c r="C243" t="s">
        <v>863</v>
      </c>
      <c r="D243" s="14">
        <v>35509</v>
      </c>
      <c r="E243" s="14">
        <v>35514</v>
      </c>
      <c r="F243" t="s">
        <v>859</v>
      </c>
      <c r="G243" s="10">
        <v>70.763000000000005</v>
      </c>
      <c r="H243" t="s">
        <v>113</v>
      </c>
    </row>
    <row r="244" spans="1:8" x14ac:dyDescent="0.45">
      <c r="A244">
        <v>10482</v>
      </c>
      <c r="B244" t="s">
        <v>310</v>
      </c>
      <c r="C244" t="s">
        <v>862</v>
      </c>
      <c r="D244" s="14">
        <v>35510</v>
      </c>
      <c r="E244" s="14">
        <v>35530</v>
      </c>
      <c r="F244" t="s">
        <v>855</v>
      </c>
      <c r="G244" s="10">
        <v>8.2279999999999998</v>
      </c>
      <c r="H244" t="s">
        <v>231</v>
      </c>
    </row>
    <row r="245" spans="1:8" x14ac:dyDescent="0.45">
      <c r="A245">
        <v>10483</v>
      </c>
      <c r="B245" t="s">
        <v>629</v>
      </c>
      <c r="C245" t="s">
        <v>865</v>
      </c>
      <c r="D245" s="14">
        <v>35513</v>
      </c>
      <c r="E245" s="14">
        <v>35545</v>
      </c>
      <c r="F245" t="s">
        <v>859</v>
      </c>
      <c r="G245" s="10">
        <v>16.808</v>
      </c>
      <c r="H245" t="s">
        <v>231</v>
      </c>
    </row>
    <row r="246" spans="1:8" x14ac:dyDescent="0.45">
      <c r="A246">
        <v>10484</v>
      </c>
      <c r="B246" t="s">
        <v>79</v>
      </c>
      <c r="C246" t="s">
        <v>860</v>
      </c>
      <c r="D246" s="14">
        <v>35513</v>
      </c>
      <c r="E246" s="14">
        <v>35521</v>
      </c>
      <c r="F246" t="s">
        <v>855</v>
      </c>
      <c r="G246" s="10">
        <v>7.5679999999999996</v>
      </c>
      <c r="H246" t="s">
        <v>29</v>
      </c>
    </row>
    <row r="247" spans="1:8" x14ac:dyDescent="0.45">
      <c r="A247">
        <v>10485</v>
      </c>
      <c r="B247" t="s">
        <v>341</v>
      </c>
      <c r="C247" t="s">
        <v>858</v>
      </c>
      <c r="D247" s="14">
        <v>35514</v>
      </c>
      <c r="E247" s="14">
        <v>35520</v>
      </c>
      <c r="F247" t="s">
        <v>859</v>
      </c>
      <c r="G247" s="10">
        <v>70.894999999999996</v>
      </c>
      <c r="H247" t="s">
        <v>240</v>
      </c>
    </row>
    <row r="248" spans="1:8" x14ac:dyDescent="0.45">
      <c r="A248">
        <v>10486</v>
      </c>
      <c r="B248" t="s">
        <v>251</v>
      </c>
      <c r="C248" t="s">
        <v>862</v>
      </c>
      <c r="D248" s="14">
        <v>35515</v>
      </c>
      <c r="E248" s="14">
        <v>35522</v>
      </c>
      <c r="F248" t="s">
        <v>859</v>
      </c>
      <c r="G248" s="10">
        <v>33.582999999999998</v>
      </c>
      <c r="H248" t="s">
        <v>240</v>
      </c>
    </row>
    <row r="249" spans="1:8" x14ac:dyDescent="0.45">
      <c r="A249">
        <v>10487</v>
      </c>
      <c r="B249" t="s">
        <v>444</v>
      </c>
      <c r="C249" t="s">
        <v>864</v>
      </c>
      <c r="D249" s="14">
        <v>35515</v>
      </c>
      <c r="E249" s="14">
        <v>35517</v>
      </c>
      <c r="F249" t="s">
        <v>859</v>
      </c>
      <c r="G249" s="10">
        <v>78.177000000000007</v>
      </c>
      <c r="H249" t="s">
        <v>113</v>
      </c>
    </row>
    <row r="250" spans="1:8" x14ac:dyDescent="0.45">
      <c r="A250">
        <v>10488</v>
      </c>
      <c r="B250" t="s">
        <v>176</v>
      </c>
      <c r="C250" t="s">
        <v>863</v>
      </c>
      <c r="D250" s="14">
        <v>35516</v>
      </c>
      <c r="E250" s="14">
        <v>35522</v>
      </c>
      <c r="F250" t="s">
        <v>859</v>
      </c>
      <c r="G250" s="10">
        <v>5.423</v>
      </c>
      <c r="H250" t="s">
        <v>7</v>
      </c>
    </row>
    <row r="251" spans="1:8" x14ac:dyDescent="0.45">
      <c r="A251">
        <v>10489</v>
      </c>
      <c r="B251" t="s">
        <v>425</v>
      </c>
      <c r="C251" t="s">
        <v>856</v>
      </c>
      <c r="D251" s="14">
        <v>35517</v>
      </c>
      <c r="E251" s="14">
        <v>35529</v>
      </c>
      <c r="F251" t="s">
        <v>859</v>
      </c>
      <c r="G251" s="10">
        <v>5.819</v>
      </c>
      <c r="H251" t="s">
        <v>147</v>
      </c>
    </row>
    <row r="252" spans="1:8" x14ac:dyDescent="0.45">
      <c r="A252">
        <v>10490</v>
      </c>
      <c r="B252" t="s">
        <v>251</v>
      </c>
      <c r="C252" t="s">
        <v>865</v>
      </c>
      <c r="D252" s="14">
        <v>35520</v>
      </c>
      <c r="E252" s="14">
        <v>35523</v>
      </c>
      <c r="F252" t="s">
        <v>859</v>
      </c>
      <c r="G252" s="10">
        <v>231.209</v>
      </c>
      <c r="H252" t="s">
        <v>240</v>
      </c>
    </row>
    <row r="253" spans="1:8" x14ac:dyDescent="0.45">
      <c r="A253">
        <v>10491</v>
      </c>
      <c r="B253" t="s">
        <v>196</v>
      </c>
      <c r="C253" t="s">
        <v>863</v>
      </c>
      <c r="D253" s="14">
        <v>35520</v>
      </c>
      <c r="E253" s="14">
        <v>35528</v>
      </c>
      <c r="F253" t="s">
        <v>855</v>
      </c>
      <c r="G253" s="10">
        <v>18.655999999999999</v>
      </c>
      <c r="H253" t="s">
        <v>201</v>
      </c>
    </row>
    <row r="254" spans="1:8" x14ac:dyDescent="0.45">
      <c r="A254">
        <v>10492</v>
      </c>
      <c r="B254" t="s">
        <v>70</v>
      </c>
      <c r="C254" t="s">
        <v>860</v>
      </c>
      <c r="D254" s="14">
        <v>35521</v>
      </c>
      <c r="E254" s="14">
        <v>35531</v>
      </c>
      <c r="F254" t="s">
        <v>857</v>
      </c>
      <c r="G254" s="10">
        <v>69.179000000000002</v>
      </c>
      <c r="H254" t="s">
        <v>76</v>
      </c>
    </row>
    <row r="255" spans="1:8" x14ac:dyDescent="0.45">
      <c r="A255">
        <v>10493</v>
      </c>
      <c r="B255" t="s">
        <v>296</v>
      </c>
      <c r="C255" t="s">
        <v>858</v>
      </c>
      <c r="D255" s="14">
        <v>35522</v>
      </c>
      <c r="E255" s="14">
        <v>35530</v>
      </c>
      <c r="F255" t="s">
        <v>855</v>
      </c>
      <c r="G255" s="10">
        <v>11.704000000000001</v>
      </c>
      <c r="H255" t="s">
        <v>52</v>
      </c>
    </row>
    <row r="256" spans="1:8" x14ac:dyDescent="0.45">
      <c r="A256">
        <v>10494</v>
      </c>
      <c r="B256" t="s">
        <v>107</v>
      </c>
      <c r="C256" t="s">
        <v>858</v>
      </c>
      <c r="D256" s="14">
        <v>35522</v>
      </c>
      <c r="E256" s="14">
        <v>35529</v>
      </c>
      <c r="F256" t="s">
        <v>859</v>
      </c>
      <c r="G256" s="10">
        <v>72.588999999999999</v>
      </c>
      <c r="H256" t="s">
        <v>113</v>
      </c>
    </row>
    <row r="257" spans="1:8" x14ac:dyDescent="0.45">
      <c r="A257">
        <v>10495</v>
      </c>
      <c r="B257" t="s">
        <v>303</v>
      </c>
      <c r="C257" t="s">
        <v>860</v>
      </c>
      <c r="D257" s="14">
        <v>35523</v>
      </c>
      <c r="E257" s="14">
        <v>35531</v>
      </c>
      <c r="F257" t="s">
        <v>855</v>
      </c>
      <c r="G257" s="10">
        <v>5.1150000000000002</v>
      </c>
      <c r="H257" t="s">
        <v>76</v>
      </c>
    </row>
    <row r="258" spans="1:8" x14ac:dyDescent="0.45">
      <c r="A258">
        <v>10496</v>
      </c>
      <c r="B258" t="s">
        <v>573</v>
      </c>
      <c r="C258" t="s">
        <v>865</v>
      </c>
      <c r="D258" s="14">
        <v>35524</v>
      </c>
      <c r="E258" s="14">
        <v>35527</v>
      </c>
      <c r="F258" t="s">
        <v>859</v>
      </c>
      <c r="G258" s="10">
        <v>51.447000000000003</v>
      </c>
      <c r="H258" t="s">
        <v>113</v>
      </c>
    </row>
    <row r="259" spans="1:8" x14ac:dyDescent="0.45">
      <c r="A259">
        <v>10497</v>
      </c>
      <c r="B259" t="s">
        <v>318</v>
      </c>
      <c r="C259" t="s">
        <v>865</v>
      </c>
      <c r="D259" s="14">
        <v>35524</v>
      </c>
      <c r="E259" s="14">
        <v>35527</v>
      </c>
      <c r="F259" t="s">
        <v>857</v>
      </c>
      <c r="G259" s="10">
        <v>39.831000000000003</v>
      </c>
      <c r="H259" t="s">
        <v>7</v>
      </c>
    </row>
    <row r="260" spans="1:8" x14ac:dyDescent="0.45">
      <c r="A260">
        <v>10498</v>
      </c>
      <c r="B260" t="s">
        <v>251</v>
      </c>
      <c r="C260" t="s">
        <v>863</v>
      </c>
      <c r="D260" s="14">
        <v>35527</v>
      </c>
      <c r="E260" s="14">
        <v>35531</v>
      </c>
      <c r="F260" t="s">
        <v>859</v>
      </c>
      <c r="G260" s="10">
        <v>32.725000000000001</v>
      </c>
      <c r="H260" t="s">
        <v>240</v>
      </c>
    </row>
    <row r="261" spans="1:8" x14ac:dyDescent="0.45">
      <c r="A261">
        <v>10499</v>
      </c>
      <c r="B261" t="s">
        <v>333</v>
      </c>
      <c r="C261" t="s">
        <v>858</v>
      </c>
      <c r="D261" s="14">
        <v>35528</v>
      </c>
      <c r="E261" s="14">
        <v>35536</v>
      </c>
      <c r="F261" t="s">
        <v>859</v>
      </c>
      <c r="G261" s="10">
        <v>112.22199999999999</v>
      </c>
      <c r="H261" t="s">
        <v>240</v>
      </c>
    </row>
    <row r="262" spans="1:8" x14ac:dyDescent="0.45">
      <c r="A262">
        <v>10500</v>
      </c>
      <c r="B262" t="s">
        <v>296</v>
      </c>
      <c r="C262" t="s">
        <v>856</v>
      </c>
      <c r="D262" s="14">
        <v>35529</v>
      </c>
      <c r="E262" s="14">
        <v>35537</v>
      </c>
      <c r="F262" t="s">
        <v>857</v>
      </c>
      <c r="G262" s="10">
        <v>46.948</v>
      </c>
      <c r="H262" t="s">
        <v>52</v>
      </c>
    </row>
    <row r="263" spans="1:8" x14ac:dyDescent="0.45">
      <c r="A263">
        <v>10501</v>
      </c>
      <c r="B263" t="s">
        <v>40</v>
      </c>
      <c r="C263" t="s">
        <v>861</v>
      </c>
      <c r="D263" s="14">
        <v>35529</v>
      </c>
      <c r="E263" s="14">
        <v>35536</v>
      </c>
      <c r="F263" t="s">
        <v>855</v>
      </c>
      <c r="G263" s="10">
        <v>9.7349999999999994</v>
      </c>
      <c r="H263" t="s">
        <v>7</v>
      </c>
    </row>
    <row r="264" spans="1:8" x14ac:dyDescent="0.45">
      <c r="A264">
        <v>10502</v>
      </c>
      <c r="B264" t="s">
        <v>419</v>
      </c>
      <c r="C264" t="s">
        <v>864</v>
      </c>
      <c r="D264" s="14">
        <v>35530</v>
      </c>
      <c r="E264" s="14">
        <v>35549</v>
      </c>
      <c r="F264" t="s">
        <v>857</v>
      </c>
      <c r="G264" s="10">
        <v>76.251999999999995</v>
      </c>
      <c r="H264" t="s">
        <v>15</v>
      </c>
    </row>
    <row r="265" spans="1:8" x14ac:dyDescent="0.45">
      <c r="A265">
        <v>10503</v>
      </c>
      <c r="B265" t="s">
        <v>266</v>
      </c>
      <c r="C265" t="s">
        <v>856</v>
      </c>
      <c r="D265" s="14">
        <v>35531</v>
      </c>
      <c r="E265" s="14">
        <v>35536</v>
      </c>
      <c r="F265" t="s">
        <v>859</v>
      </c>
      <c r="G265" s="10">
        <v>18.414000000000001</v>
      </c>
      <c r="H265" t="s">
        <v>271</v>
      </c>
    </row>
    <row r="266" spans="1:8" x14ac:dyDescent="0.45">
      <c r="A266">
        <v>10504</v>
      </c>
      <c r="B266" t="s">
        <v>629</v>
      </c>
      <c r="C266" t="s">
        <v>858</v>
      </c>
      <c r="D266" s="14">
        <v>35531</v>
      </c>
      <c r="E266" s="14">
        <v>35538</v>
      </c>
      <c r="F266" t="s">
        <v>855</v>
      </c>
      <c r="G266" s="10">
        <v>65.043000000000006</v>
      </c>
      <c r="H266" t="s">
        <v>231</v>
      </c>
    </row>
    <row r="267" spans="1:8" x14ac:dyDescent="0.45">
      <c r="A267">
        <v>10505</v>
      </c>
      <c r="B267" t="s">
        <v>371</v>
      </c>
      <c r="C267" t="s">
        <v>860</v>
      </c>
      <c r="D267" s="14">
        <v>35534</v>
      </c>
      <c r="E267" s="14">
        <v>35541</v>
      </c>
      <c r="F267" t="s">
        <v>855</v>
      </c>
      <c r="G267" s="10">
        <v>7.843</v>
      </c>
      <c r="H267" t="s">
        <v>76</v>
      </c>
    </row>
    <row r="268" spans="1:8" x14ac:dyDescent="0.45">
      <c r="A268">
        <v>10506</v>
      </c>
      <c r="B268" t="s">
        <v>282</v>
      </c>
      <c r="C268" t="s">
        <v>861</v>
      </c>
      <c r="D268" s="14">
        <v>35535</v>
      </c>
      <c r="E268" s="14">
        <v>35552</v>
      </c>
      <c r="F268" t="s">
        <v>859</v>
      </c>
      <c r="G268" s="10">
        <v>23.309000000000001</v>
      </c>
      <c r="H268" t="s">
        <v>7</v>
      </c>
    </row>
    <row r="269" spans="1:8" x14ac:dyDescent="0.45">
      <c r="A269">
        <v>10507</v>
      </c>
      <c r="B269" t="s">
        <v>18</v>
      </c>
      <c r="C269" t="s">
        <v>865</v>
      </c>
      <c r="D269" s="14">
        <v>35535</v>
      </c>
      <c r="E269" s="14">
        <v>35542</v>
      </c>
      <c r="F269" t="s">
        <v>857</v>
      </c>
      <c r="G269" s="10">
        <v>52.195</v>
      </c>
      <c r="H269" t="s">
        <v>15</v>
      </c>
    </row>
    <row r="270" spans="1:8" x14ac:dyDescent="0.45">
      <c r="A270">
        <v>10508</v>
      </c>
      <c r="B270" t="s">
        <v>405</v>
      </c>
      <c r="C270" t="s">
        <v>862</v>
      </c>
      <c r="D270" s="14">
        <v>35536</v>
      </c>
      <c r="E270" s="14">
        <v>35563</v>
      </c>
      <c r="F270" t="s">
        <v>859</v>
      </c>
      <c r="G270" s="10">
        <v>5.4889999999999999</v>
      </c>
      <c r="H270" t="s">
        <v>7</v>
      </c>
    </row>
    <row r="271" spans="1:8" x14ac:dyDescent="0.45">
      <c r="A271">
        <v>10509</v>
      </c>
      <c r="B271" t="s">
        <v>40</v>
      </c>
      <c r="C271" t="s">
        <v>858</v>
      </c>
      <c r="D271" s="14">
        <v>35537</v>
      </c>
      <c r="E271" s="14">
        <v>35549</v>
      </c>
      <c r="F271" t="s">
        <v>857</v>
      </c>
      <c r="G271" s="10">
        <v>0.16500000000000001</v>
      </c>
      <c r="H271" t="s">
        <v>7</v>
      </c>
    </row>
    <row r="272" spans="1:8" x14ac:dyDescent="0.45">
      <c r="A272">
        <v>10510</v>
      </c>
      <c r="B272" t="s">
        <v>504</v>
      </c>
      <c r="C272" t="s">
        <v>856</v>
      </c>
      <c r="D272" s="14">
        <v>35538</v>
      </c>
      <c r="E272" s="14">
        <v>35548</v>
      </c>
      <c r="F272" t="s">
        <v>855</v>
      </c>
      <c r="G272" s="10">
        <v>404.39299999999997</v>
      </c>
      <c r="H272" t="s">
        <v>231</v>
      </c>
    </row>
    <row r="273" spans="1:8" x14ac:dyDescent="0.45">
      <c r="A273">
        <v>10511</v>
      </c>
      <c r="B273" t="s">
        <v>63</v>
      </c>
      <c r="C273" t="s">
        <v>858</v>
      </c>
      <c r="D273" s="14">
        <v>35538</v>
      </c>
      <c r="E273" s="14">
        <v>35541</v>
      </c>
      <c r="F273" t="s">
        <v>855</v>
      </c>
      <c r="G273" s="10">
        <v>385.70400000000001</v>
      </c>
      <c r="H273" t="s">
        <v>52</v>
      </c>
    </row>
    <row r="274" spans="1:8" x14ac:dyDescent="0.45">
      <c r="A274">
        <v>10512</v>
      </c>
      <c r="B274" t="s">
        <v>150</v>
      </c>
      <c r="C274" t="s">
        <v>865</v>
      </c>
      <c r="D274" s="14">
        <v>35541</v>
      </c>
      <c r="E274" s="14">
        <v>35544</v>
      </c>
      <c r="F274" t="s">
        <v>859</v>
      </c>
      <c r="G274" s="10">
        <v>3.883</v>
      </c>
      <c r="H274" t="s">
        <v>113</v>
      </c>
    </row>
    <row r="275" spans="1:8" x14ac:dyDescent="0.45">
      <c r="A275">
        <v>10513</v>
      </c>
      <c r="B275" t="s">
        <v>607</v>
      </c>
      <c r="C275" t="s">
        <v>865</v>
      </c>
      <c r="D275" s="14">
        <v>35542</v>
      </c>
      <c r="E275" s="14">
        <v>35548</v>
      </c>
      <c r="F275" t="s">
        <v>857</v>
      </c>
      <c r="G275" s="10">
        <v>116.215</v>
      </c>
      <c r="H275" t="s">
        <v>7</v>
      </c>
    </row>
    <row r="276" spans="1:8" x14ac:dyDescent="0.45">
      <c r="A276">
        <v>10514</v>
      </c>
      <c r="B276" t="s">
        <v>142</v>
      </c>
      <c r="C276" t="s">
        <v>860</v>
      </c>
      <c r="D276" s="14">
        <v>35542</v>
      </c>
      <c r="E276" s="14">
        <v>35566</v>
      </c>
      <c r="F276" t="s">
        <v>859</v>
      </c>
      <c r="G276" s="10">
        <v>868.94500000000005</v>
      </c>
      <c r="H276" t="s">
        <v>147</v>
      </c>
    </row>
    <row r="277" spans="1:8" x14ac:dyDescent="0.45">
      <c r="A277">
        <v>10515</v>
      </c>
      <c r="B277" t="s">
        <v>450</v>
      </c>
      <c r="C277" t="s">
        <v>864</v>
      </c>
      <c r="D277" s="14">
        <v>35543</v>
      </c>
      <c r="E277" s="14">
        <v>35573</v>
      </c>
      <c r="F277" t="s">
        <v>857</v>
      </c>
      <c r="G277" s="10">
        <v>224.917</v>
      </c>
      <c r="H277" t="s">
        <v>7</v>
      </c>
    </row>
    <row r="278" spans="1:8" x14ac:dyDescent="0.45">
      <c r="A278">
        <v>10516</v>
      </c>
      <c r="B278" t="s">
        <v>266</v>
      </c>
      <c r="C278" t="s">
        <v>864</v>
      </c>
      <c r="D278" s="14">
        <v>35544</v>
      </c>
      <c r="E278" s="14">
        <v>35551</v>
      </c>
      <c r="F278" t="s">
        <v>855</v>
      </c>
      <c r="G278" s="10">
        <v>69.058000000000007</v>
      </c>
      <c r="H278" t="s">
        <v>271</v>
      </c>
    </row>
    <row r="279" spans="1:8" x14ac:dyDescent="0.45">
      <c r="A279">
        <v>10517</v>
      </c>
      <c r="B279" t="s">
        <v>386</v>
      </c>
      <c r="C279" t="s">
        <v>860</v>
      </c>
      <c r="D279" s="14">
        <v>35544</v>
      </c>
      <c r="E279" s="14">
        <v>35549</v>
      </c>
      <c r="F279" t="s">
        <v>855</v>
      </c>
      <c r="G279" s="10">
        <v>35.277000000000001</v>
      </c>
      <c r="H279" t="s">
        <v>29</v>
      </c>
    </row>
    <row r="280" spans="1:8" x14ac:dyDescent="0.45">
      <c r="A280">
        <v>10518</v>
      </c>
      <c r="B280" t="s">
        <v>568</v>
      </c>
      <c r="C280" t="s">
        <v>858</v>
      </c>
      <c r="D280" s="14">
        <v>35545</v>
      </c>
      <c r="E280" s="14">
        <v>35555</v>
      </c>
      <c r="F280" t="s">
        <v>859</v>
      </c>
      <c r="G280" s="10">
        <v>239.965</v>
      </c>
      <c r="H280" t="s">
        <v>15</v>
      </c>
    </row>
    <row r="281" spans="1:8" x14ac:dyDescent="0.45">
      <c r="A281">
        <v>10519</v>
      </c>
      <c r="B281" t="s">
        <v>99</v>
      </c>
      <c r="C281" t="s">
        <v>856</v>
      </c>
      <c r="D281" s="14">
        <v>35548</v>
      </c>
      <c r="E281" s="14">
        <v>35551</v>
      </c>
      <c r="F281" t="s">
        <v>855</v>
      </c>
      <c r="G281" s="10">
        <v>100.93600000000001</v>
      </c>
      <c r="H281" t="s">
        <v>104</v>
      </c>
    </row>
    <row r="282" spans="1:8" x14ac:dyDescent="0.45">
      <c r="A282">
        <v>10520</v>
      </c>
      <c r="B282" t="s">
        <v>496</v>
      </c>
      <c r="C282" t="s">
        <v>865</v>
      </c>
      <c r="D282" s="14">
        <v>35549</v>
      </c>
      <c r="E282" s="14">
        <v>35551</v>
      </c>
      <c r="F282" t="s">
        <v>857</v>
      </c>
      <c r="G282" s="10">
        <v>14.707000000000001</v>
      </c>
      <c r="H282" t="s">
        <v>501</v>
      </c>
    </row>
    <row r="283" spans="1:8" x14ac:dyDescent="0.45">
      <c r="A283">
        <v>10521</v>
      </c>
      <c r="B283" t="s">
        <v>85</v>
      </c>
      <c r="C283" t="s">
        <v>863</v>
      </c>
      <c r="D283" s="14">
        <v>35549</v>
      </c>
      <c r="E283" s="14">
        <v>35552</v>
      </c>
      <c r="F283" t="s">
        <v>859</v>
      </c>
      <c r="G283" s="10">
        <v>18.942</v>
      </c>
      <c r="H283" t="s">
        <v>90</v>
      </c>
    </row>
    <row r="284" spans="1:8" x14ac:dyDescent="0.45">
      <c r="A284">
        <v>10522</v>
      </c>
      <c r="B284" t="s">
        <v>318</v>
      </c>
      <c r="C284" t="s">
        <v>858</v>
      </c>
      <c r="D284" s="14">
        <v>35550</v>
      </c>
      <c r="E284" s="14">
        <v>35556</v>
      </c>
      <c r="F284" t="s">
        <v>857</v>
      </c>
      <c r="G284" s="10">
        <v>49.863</v>
      </c>
      <c r="H284" t="s">
        <v>7</v>
      </c>
    </row>
    <row r="285" spans="1:8" x14ac:dyDescent="0.45">
      <c r="A285">
        <v>10523</v>
      </c>
      <c r="B285" t="s">
        <v>512</v>
      </c>
      <c r="C285" t="s">
        <v>865</v>
      </c>
      <c r="D285" s="14">
        <v>35551</v>
      </c>
      <c r="E285" s="14">
        <v>35580</v>
      </c>
      <c r="F285" t="s">
        <v>859</v>
      </c>
      <c r="G285" s="10">
        <v>85.393000000000001</v>
      </c>
      <c r="H285" t="s">
        <v>29</v>
      </c>
    </row>
    <row r="286" spans="1:8" x14ac:dyDescent="0.45">
      <c r="A286">
        <v>10524</v>
      </c>
      <c r="B286" t="s">
        <v>32</v>
      </c>
      <c r="C286" t="s">
        <v>862</v>
      </c>
      <c r="D286" s="14">
        <v>35551</v>
      </c>
      <c r="E286" s="14">
        <v>35557</v>
      </c>
      <c r="F286" t="s">
        <v>859</v>
      </c>
      <c r="G286" s="10">
        <v>269.26900000000001</v>
      </c>
      <c r="H286" t="s">
        <v>37</v>
      </c>
    </row>
    <row r="287" spans="1:8" x14ac:dyDescent="0.45">
      <c r="A287">
        <v>10525</v>
      </c>
      <c r="B287" t="s">
        <v>63</v>
      </c>
      <c r="C287" t="s">
        <v>862</v>
      </c>
      <c r="D287" s="14">
        <v>35552</v>
      </c>
      <c r="E287" s="14">
        <v>35573</v>
      </c>
      <c r="F287" t="s">
        <v>859</v>
      </c>
      <c r="G287" s="10">
        <v>12.166</v>
      </c>
      <c r="H287" t="s">
        <v>52</v>
      </c>
    </row>
    <row r="288" spans="1:8" x14ac:dyDescent="0.45">
      <c r="A288">
        <v>10526</v>
      </c>
      <c r="B288" t="s">
        <v>614</v>
      </c>
      <c r="C288" t="s">
        <v>858</v>
      </c>
      <c r="D288" s="14">
        <v>35555</v>
      </c>
      <c r="E288" s="14">
        <v>35565</v>
      </c>
      <c r="F288" t="s">
        <v>859</v>
      </c>
      <c r="G288" s="10">
        <v>64.448999999999998</v>
      </c>
      <c r="H288" t="s">
        <v>619</v>
      </c>
    </row>
    <row r="289" spans="1:8" x14ac:dyDescent="0.45">
      <c r="A289">
        <v>10527</v>
      </c>
      <c r="B289" t="s">
        <v>450</v>
      </c>
      <c r="C289" t="s">
        <v>865</v>
      </c>
      <c r="D289" s="14">
        <v>35555</v>
      </c>
      <c r="E289" s="14">
        <v>35557</v>
      </c>
      <c r="F289" t="s">
        <v>857</v>
      </c>
      <c r="G289" s="10">
        <v>46.09</v>
      </c>
      <c r="H289" t="s">
        <v>7</v>
      </c>
    </row>
    <row r="290" spans="1:8" x14ac:dyDescent="0.45">
      <c r="A290">
        <v>10528</v>
      </c>
      <c r="B290" t="s">
        <v>225</v>
      </c>
      <c r="C290" t="s">
        <v>856</v>
      </c>
      <c r="D290" s="14">
        <v>35556</v>
      </c>
      <c r="E290" s="14">
        <v>35559</v>
      </c>
      <c r="F290" t="s">
        <v>859</v>
      </c>
      <c r="G290" s="10">
        <v>3.6850000000000001</v>
      </c>
      <c r="H290" t="s">
        <v>231</v>
      </c>
    </row>
    <row r="291" spans="1:8" x14ac:dyDescent="0.45">
      <c r="A291">
        <v>10529</v>
      </c>
      <c r="B291" t="s">
        <v>363</v>
      </c>
      <c r="C291" t="s">
        <v>854</v>
      </c>
      <c r="D291" s="14">
        <v>35557</v>
      </c>
      <c r="E291" s="14">
        <v>35559</v>
      </c>
      <c r="F291" t="s">
        <v>859</v>
      </c>
      <c r="G291" s="10">
        <v>73.358999999999995</v>
      </c>
      <c r="H291" t="s">
        <v>368</v>
      </c>
    </row>
    <row r="292" spans="1:8" x14ac:dyDescent="0.45">
      <c r="A292">
        <v>10530</v>
      </c>
      <c r="B292" t="s">
        <v>425</v>
      </c>
      <c r="C292" t="s">
        <v>860</v>
      </c>
      <c r="D292" s="14">
        <v>35558</v>
      </c>
      <c r="E292" s="14">
        <v>35562</v>
      </c>
      <c r="F292" t="s">
        <v>859</v>
      </c>
      <c r="G292" s="10">
        <v>373.142</v>
      </c>
      <c r="H292" t="s">
        <v>147</v>
      </c>
    </row>
    <row r="293" spans="1:8" x14ac:dyDescent="0.45">
      <c r="A293">
        <v>10531</v>
      </c>
      <c r="B293" t="s">
        <v>392</v>
      </c>
      <c r="C293" t="s">
        <v>865</v>
      </c>
      <c r="D293" s="14">
        <v>35558</v>
      </c>
      <c r="E293" s="14">
        <v>35569</v>
      </c>
      <c r="F293" t="s">
        <v>857</v>
      </c>
      <c r="G293" s="10">
        <v>8.9320000000000004</v>
      </c>
      <c r="H293" t="s">
        <v>90</v>
      </c>
    </row>
    <row r="294" spans="1:8" x14ac:dyDescent="0.45">
      <c r="A294">
        <v>10532</v>
      </c>
      <c r="B294" t="s">
        <v>136</v>
      </c>
      <c r="C294" t="s">
        <v>865</v>
      </c>
      <c r="D294" s="14">
        <v>35559</v>
      </c>
      <c r="E294" s="14">
        <v>35562</v>
      </c>
      <c r="F294" t="s">
        <v>855</v>
      </c>
      <c r="G294" s="10">
        <v>81.906000000000006</v>
      </c>
      <c r="H294" t="s">
        <v>29</v>
      </c>
    </row>
    <row r="295" spans="1:8" x14ac:dyDescent="0.45">
      <c r="A295">
        <v>10533</v>
      </c>
      <c r="B295" t="s">
        <v>169</v>
      </c>
      <c r="C295" t="s">
        <v>863</v>
      </c>
      <c r="D295" s="14">
        <v>35562</v>
      </c>
      <c r="E295" s="14">
        <v>35572</v>
      </c>
      <c r="F295" t="s">
        <v>857</v>
      </c>
      <c r="G295" s="10">
        <v>206.84399999999999</v>
      </c>
      <c r="H295" t="s">
        <v>37</v>
      </c>
    </row>
    <row r="296" spans="1:8" x14ac:dyDescent="0.45">
      <c r="A296">
        <v>10534</v>
      </c>
      <c r="B296" t="s">
        <v>318</v>
      </c>
      <c r="C296" t="s">
        <v>863</v>
      </c>
      <c r="D296" s="14">
        <v>35562</v>
      </c>
      <c r="E296" s="14">
        <v>35564</v>
      </c>
      <c r="F296" t="s">
        <v>859</v>
      </c>
      <c r="G296" s="10">
        <v>30.734000000000002</v>
      </c>
      <c r="H296" t="s">
        <v>7</v>
      </c>
    </row>
    <row r="297" spans="1:8" x14ac:dyDescent="0.45">
      <c r="A297">
        <v>10535</v>
      </c>
      <c r="B297" t="s">
        <v>18</v>
      </c>
      <c r="C297" t="s">
        <v>858</v>
      </c>
      <c r="D297" s="14">
        <v>35563</v>
      </c>
      <c r="E297" s="14">
        <v>35571</v>
      </c>
      <c r="F297" t="s">
        <v>857</v>
      </c>
      <c r="G297" s="10">
        <v>17.204000000000001</v>
      </c>
      <c r="H297" t="s">
        <v>15</v>
      </c>
    </row>
    <row r="298" spans="1:8" x14ac:dyDescent="0.45">
      <c r="A298">
        <v>10536</v>
      </c>
      <c r="B298" t="s">
        <v>318</v>
      </c>
      <c r="C298" t="s">
        <v>860</v>
      </c>
      <c r="D298" s="14">
        <v>35564</v>
      </c>
      <c r="E298" s="14">
        <v>35587</v>
      </c>
      <c r="F298" t="s">
        <v>859</v>
      </c>
      <c r="G298" s="10">
        <v>64.768000000000001</v>
      </c>
      <c r="H298" t="s">
        <v>7</v>
      </c>
    </row>
    <row r="299" spans="1:8" x14ac:dyDescent="0.45">
      <c r="A299">
        <v>10537</v>
      </c>
      <c r="B299" t="s">
        <v>483</v>
      </c>
      <c r="C299" t="s">
        <v>862</v>
      </c>
      <c r="D299" s="14">
        <v>35564</v>
      </c>
      <c r="E299" s="14">
        <v>35569</v>
      </c>
      <c r="F299" t="s">
        <v>857</v>
      </c>
      <c r="G299" s="10">
        <v>86.734999999999999</v>
      </c>
      <c r="H299" t="s">
        <v>104</v>
      </c>
    </row>
    <row r="300" spans="1:8" x14ac:dyDescent="0.45">
      <c r="A300">
        <v>10538</v>
      </c>
      <c r="B300" t="s">
        <v>79</v>
      </c>
      <c r="C300" t="s">
        <v>861</v>
      </c>
      <c r="D300" s="14">
        <v>35565</v>
      </c>
      <c r="E300" s="14">
        <v>35566</v>
      </c>
      <c r="F300" t="s">
        <v>855</v>
      </c>
      <c r="G300" s="10">
        <v>5.3570000000000002</v>
      </c>
      <c r="H300" t="s">
        <v>29</v>
      </c>
    </row>
    <row r="301" spans="1:8" x14ac:dyDescent="0.45">
      <c r="A301">
        <v>10539</v>
      </c>
      <c r="B301" t="s">
        <v>79</v>
      </c>
      <c r="C301" t="s">
        <v>856</v>
      </c>
      <c r="D301" s="14">
        <v>35566</v>
      </c>
      <c r="E301" s="14">
        <v>35573</v>
      </c>
      <c r="F301" t="s">
        <v>855</v>
      </c>
      <c r="G301" s="10">
        <v>13.596</v>
      </c>
      <c r="H301" t="s">
        <v>29</v>
      </c>
    </row>
    <row r="302" spans="1:8" x14ac:dyDescent="0.45">
      <c r="A302">
        <v>10540</v>
      </c>
      <c r="B302" t="s">
        <v>450</v>
      </c>
      <c r="C302" t="s">
        <v>860</v>
      </c>
      <c r="D302" s="14">
        <v>35569</v>
      </c>
      <c r="E302" s="14">
        <v>35594</v>
      </c>
      <c r="F302" t="s">
        <v>855</v>
      </c>
      <c r="G302" s="10">
        <v>1108.404</v>
      </c>
      <c r="H302" t="s">
        <v>7</v>
      </c>
    </row>
    <row r="303" spans="1:8" x14ac:dyDescent="0.45">
      <c r="A303">
        <v>10541</v>
      </c>
      <c r="B303" t="s">
        <v>243</v>
      </c>
      <c r="C303" t="s">
        <v>864</v>
      </c>
      <c r="D303" s="14">
        <v>35569</v>
      </c>
      <c r="E303" s="14">
        <v>35579</v>
      </c>
      <c r="F303" t="s">
        <v>857</v>
      </c>
      <c r="G303" s="10">
        <v>75.515000000000001</v>
      </c>
      <c r="H303" t="s">
        <v>113</v>
      </c>
    </row>
    <row r="304" spans="1:8" x14ac:dyDescent="0.45">
      <c r="A304">
        <v>10542</v>
      </c>
      <c r="B304" t="s">
        <v>282</v>
      </c>
      <c r="C304" t="s">
        <v>862</v>
      </c>
      <c r="D304" s="14">
        <v>35570</v>
      </c>
      <c r="E304" s="14">
        <v>35576</v>
      </c>
      <c r="F304" t="s">
        <v>855</v>
      </c>
      <c r="G304" s="10">
        <v>12.045</v>
      </c>
      <c r="H304" t="s">
        <v>7</v>
      </c>
    </row>
    <row r="305" spans="1:8" x14ac:dyDescent="0.45">
      <c r="A305">
        <v>10543</v>
      </c>
      <c r="B305" t="s">
        <v>333</v>
      </c>
      <c r="C305" t="s">
        <v>863</v>
      </c>
      <c r="D305" s="14">
        <v>35571</v>
      </c>
      <c r="E305" s="14">
        <v>35573</v>
      </c>
      <c r="F305" t="s">
        <v>859</v>
      </c>
      <c r="G305" s="10">
        <v>52.987000000000002</v>
      </c>
      <c r="H305" t="s">
        <v>240</v>
      </c>
    </row>
    <row r="306" spans="1:8" x14ac:dyDescent="0.45">
      <c r="A306">
        <v>10544</v>
      </c>
      <c r="B306" t="s">
        <v>349</v>
      </c>
      <c r="C306" t="s">
        <v>858</v>
      </c>
      <c r="D306" s="14">
        <v>35571</v>
      </c>
      <c r="E306" s="14">
        <v>35580</v>
      </c>
      <c r="F306" t="s">
        <v>857</v>
      </c>
      <c r="G306" s="10">
        <v>27.401</v>
      </c>
      <c r="H306" t="s">
        <v>231</v>
      </c>
    </row>
    <row r="307" spans="1:8" x14ac:dyDescent="0.45">
      <c r="A307">
        <v>10545</v>
      </c>
      <c r="B307" t="s">
        <v>310</v>
      </c>
      <c r="C307" t="s">
        <v>863</v>
      </c>
      <c r="D307" s="14">
        <v>35572</v>
      </c>
      <c r="E307" s="14">
        <v>35607</v>
      </c>
      <c r="F307" t="s">
        <v>859</v>
      </c>
      <c r="G307" s="10">
        <v>13.112</v>
      </c>
      <c r="H307" t="s">
        <v>231</v>
      </c>
    </row>
    <row r="308" spans="1:8" x14ac:dyDescent="0.45">
      <c r="A308">
        <v>10546</v>
      </c>
      <c r="B308" t="s">
        <v>593</v>
      </c>
      <c r="C308" t="s">
        <v>862</v>
      </c>
      <c r="D308" s="14">
        <v>35573</v>
      </c>
      <c r="E308" s="14">
        <v>35577</v>
      </c>
      <c r="F308" t="s">
        <v>855</v>
      </c>
      <c r="G308" s="10">
        <v>214.19200000000001</v>
      </c>
      <c r="H308" t="s">
        <v>52</v>
      </c>
    </row>
    <row r="309" spans="1:8" x14ac:dyDescent="0.45">
      <c r="A309">
        <v>10547</v>
      </c>
      <c r="B309" t="s">
        <v>512</v>
      </c>
      <c r="C309" t="s">
        <v>860</v>
      </c>
      <c r="D309" s="14">
        <v>35573</v>
      </c>
      <c r="E309" s="14">
        <v>35583</v>
      </c>
      <c r="F309" t="s">
        <v>859</v>
      </c>
      <c r="G309" s="10">
        <v>196.273</v>
      </c>
      <c r="H309" t="s">
        <v>29</v>
      </c>
    </row>
    <row r="310" spans="1:8" x14ac:dyDescent="0.45">
      <c r="A310">
        <v>10548</v>
      </c>
      <c r="B310" t="s">
        <v>561</v>
      </c>
      <c r="C310" t="s">
        <v>860</v>
      </c>
      <c r="D310" s="14">
        <v>35576</v>
      </c>
      <c r="E310" s="14">
        <v>35583</v>
      </c>
      <c r="F310" t="s">
        <v>859</v>
      </c>
      <c r="G310" s="10">
        <v>1.573</v>
      </c>
      <c r="H310" t="s">
        <v>7</v>
      </c>
    </row>
    <row r="311" spans="1:8" x14ac:dyDescent="0.45">
      <c r="A311">
        <v>10549</v>
      </c>
      <c r="B311" t="s">
        <v>450</v>
      </c>
      <c r="C311" t="s">
        <v>854</v>
      </c>
      <c r="D311" s="14">
        <v>35577</v>
      </c>
      <c r="E311" s="14">
        <v>35580</v>
      </c>
      <c r="F311" t="s">
        <v>857</v>
      </c>
      <c r="G311" s="10">
        <v>188.364</v>
      </c>
      <c r="H311" t="s">
        <v>7</v>
      </c>
    </row>
    <row r="312" spans="1:8" x14ac:dyDescent="0.45">
      <c r="A312">
        <v>10550</v>
      </c>
      <c r="B312" t="s">
        <v>211</v>
      </c>
      <c r="C312" t="s">
        <v>865</v>
      </c>
      <c r="D312" s="14">
        <v>35578</v>
      </c>
      <c r="E312" s="14">
        <v>35587</v>
      </c>
      <c r="F312" t="s">
        <v>855</v>
      </c>
      <c r="G312" s="10">
        <v>4.7519999999999998</v>
      </c>
      <c r="H312" t="s">
        <v>60</v>
      </c>
    </row>
    <row r="313" spans="1:8" x14ac:dyDescent="0.45">
      <c r="A313">
        <v>10551</v>
      </c>
      <c r="B313" t="s">
        <v>196</v>
      </c>
      <c r="C313" t="s">
        <v>858</v>
      </c>
      <c r="D313" s="14">
        <v>35578</v>
      </c>
      <c r="E313" s="14">
        <v>35587</v>
      </c>
      <c r="F313" t="s">
        <v>855</v>
      </c>
      <c r="G313" s="10">
        <v>80.245000000000005</v>
      </c>
      <c r="H313" t="s">
        <v>201</v>
      </c>
    </row>
    <row r="314" spans="1:8" x14ac:dyDescent="0.45">
      <c r="A314">
        <v>10552</v>
      </c>
      <c r="B314" t="s">
        <v>251</v>
      </c>
      <c r="C314" t="s">
        <v>864</v>
      </c>
      <c r="D314" s="14">
        <v>35579</v>
      </c>
      <c r="E314" s="14">
        <v>35586</v>
      </c>
      <c r="F314" t="s">
        <v>857</v>
      </c>
      <c r="G314" s="10">
        <v>91.542000000000002</v>
      </c>
      <c r="H314" t="s">
        <v>240</v>
      </c>
    </row>
    <row r="315" spans="1:8" x14ac:dyDescent="0.45">
      <c r="A315">
        <v>10553</v>
      </c>
      <c r="B315" t="s">
        <v>614</v>
      </c>
      <c r="C315" t="s">
        <v>864</v>
      </c>
      <c r="D315" s="14">
        <v>35580</v>
      </c>
      <c r="E315" s="14">
        <v>35584</v>
      </c>
      <c r="F315" t="s">
        <v>859</v>
      </c>
      <c r="G315" s="10">
        <v>164.43899999999999</v>
      </c>
      <c r="H315" t="s">
        <v>619</v>
      </c>
    </row>
    <row r="316" spans="1:8" x14ac:dyDescent="0.45">
      <c r="A316">
        <v>10554</v>
      </c>
      <c r="B316" t="s">
        <v>405</v>
      </c>
      <c r="C316" t="s">
        <v>858</v>
      </c>
      <c r="D316" s="14">
        <v>35580</v>
      </c>
      <c r="E316" s="14">
        <v>35586</v>
      </c>
      <c r="F316" t="s">
        <v>855</v>
      </c>
      <c r="G316" s="10">
        <v>133.06700000000001</v>
      </c>
      <c r="H316" t="s">
        <v>7</v>
      </c>
    </row>
    <row r="317" spans="1:8" x14ac:dyDescent="0.45">
      <c r="A317">
        <v>10555</v>
      </c>
      <c r="B317" t="s">
        <v>504</v>
      </c>
      <c r="C317" t="s">
        <v>856</v>
      </c>
      <c r="D317" s="14">
        <v>35583</v>
      </c>
      <c r="E317" s="14">
        <v>35585</v>
      </c>
      <c r="F317" t="s">
        <v>855</v>
      </c>
      <c r="G317" s="10">
        <v>277.73899999999998</v>
      </c>
      <c r="H317" t="s">
        <v>231</v>
      </c>
    </row>
    <row r="318" spans="1:8" x14ac:dyDescent="0.45">
      <c r="A318">
        <v>10556</v>
      </c>
      <c r="B318" t="s">
        <v>518</v>
      </c>
      <c r="C318" t="s">
        <v>864</v>
      </c>
      <c r="D318" s="14">
        <v>35584</v>
      </c>
      <c r="E318" s="14">
        <v>35594</v>
      </c>
      <c r="F318" t="s">
        <v>857</v>
      </c>
      <c r="G318" s="10">
        <v>10.78</v>
      </c>
      <c r="H318" t="s">
        <v>523</v>
      </c>
    </row>
    <row r="319" spans="1:8" x14ac:dyDescent="0.45">
      <c r="A319">
        <v>10557</v>
      </c>
      <c r="B319" t="s">
        <v>318</v>
      </c>
      <c r="C319" t="s">
        <v>861</v>
      </c>
      <c r="D319" s="14">
        <v>35584</v>
      </c>
      <c r="E319" s="14">
        <v>35587</v>
      </c>
      <c r="F319" t="s">
        <v>859</v>
      </c>
      <c r="G319" s="10">
        <v>106.392</v>
      </c>
      <c r="H319" t="s">
        <v>7</v>
      </c>
    </row>
    <row r="320" spans="1:8" x14ac:dyDescent="0.45">
      <c r="A320">
        <v>10558</v>
      </c>
      <c r="B320" t="s">
        <v>24</v>
      </c>
      <c r="C320" t="s">
        <v>862</v>
      </c>
      <c r="D320" s="14">
        <v>35585</v>
      </c>
      <c r="E320" s="14">
        <v>35591</v>
      </c>
      <c r="F320" t="s">
        <v>859</v>
      </c>
      <c r="G320" s="10">
        <v>80.266999999999996</v>
      </c>
      <c r="H320" t="s">
        <v>29</v>
      </c>
    </row>
    <row r="321" spans="1:8" x14ac:dyDescent="0.45">
      <c r="A321">
        <v>10559</v>
      </c>
      <c r="B321" t="s">
        <v>47</v>
      </c>
      <c r="C321" t="s">
        <v>856</v>
      </c>
      <c r="D321" s="14">
        <v>35586</v>
      </c>
      <c r="E321" s="14">
        <v>35594</v>
      </c>
      <c r="F321" t="s">
        <v>857</v>
      </c>
      <c r="G321" s="10">
        <v>8.8550000000000004</v>
      </c>
      <c r="H321" t="s">
        <v>52</v>
      </c>
    </row>
    <row r="322" spans="1:8" x14ac:dyDescent="0.45">
      <c r="A322">
        <v>10560</v>
      </c>
      <c r="B322" t="s">
        <v>176</v>
      </c>
      <c r="C322" t="s">
        <v>863</v>
      </c>
      <c r="D322" s="14">
        <v>35587</v>
      </c>
      <c r="E322" s="14">
        <v>35590</v>
      </c>
      <c r="F322" t="s">
        <v>857</v>
      </c>
      <c r="G322" s="10">
        <v>40.314999999999998</v>
      </c>
      <c r="H322" t="s">
        <v>7</v>
      </c>
    </row>
    <row r="323" spans="1:8" x14ac:dyDescent="0.45">
      <c r="A323">
        <v>10561</v>
      </c>
      <c r="B323" t="s">
        <v>169</v>
      </c>
      <c r="C323" t="s">
        <v>864</v>
      </c>
      <c r="D323" s="14">
        <v>35587</v>
      </c>
      <c r="E323" s="14">
        <v>35590</v>
      </c>
      <c r="F323" t="s">
        <v>859</v>
      </c>
      <c r="G323" s="10">
        <v>266.43099999999998</v>
      </c>
      <c r="H323" t="s">
        <v>37</v>
      </c>
    </row>
    <row r="324" spans="1:8" x14ac:dyDescent="0.45">
      <c r="A324">
        <v>10562</v>
      </c>
      <c r="B324" t="s">
        <v>470</v>
      </c>
      <c r="C324" t="s">
        <v>862</v>
      </c>
      <c r="D324" s="14">
        <v>35590</v>
      </c>
      <c r="E324" s="14">
        <v>35593</v>
      </c>
      <c r="F324" t="s">
        <v>857</v>
      </c>
      <c r="G324" s="10">
        <v>25.245000000000001</v>
      </c>
      <c r="H324" t="s">
        <v>193</v>
      </c>
    </row>
    <row r="325" spans="1:8" x14ac:dyDescent="0.45">
      <c r="A325">
        <v>10563</v>
      </c>
      <c r="B325" t="s">
        <v>477</v>
      </c>
      <c r="C325" t="s">
        <v>864</v>
      </c>
      <c r="D325" s="14">
        <v>35591</v>
      </c>
      <c r="E325" s="14">
        <v>35605</v>
      </c>
      <c r="F325" t="s">
        <v>859</v>
      </c>
      <c r="G325" s="10">
        <v>66.472999999999999</v>
      </c>
      <c r="H325" t="s">
        <v>113</v>
      </c>
    </row>
    <row r="326" spans="1:8" x14ac:dyDescent="0.45">
      <c r="A326">
        <v>10564</v>
      </c>
      <c r="B326" t="s">
        <v>462</v>
      </c>
      <c r="C326" t="s">
        <v>858</v>
      </c>
      <c r="D326" s="14">
        <v>35591</v>
      </c>
      <c r="E326" s="14">
        <v>35597</v>
      </c>
      <c r="F326" t="s">
        <v>855</v>
      </c>
      <c r="G326" s="10">
        <v>15.125</v>
      </c>
      <c r="H326" t="s">
        <v>231</v>
      </c>
    </row>
    <row r="327" spans="1:8" x14ac:dyDescent="0.45">
      <c r="A327">
        <v>10565</v>
      </c>
      <c r="B327" t="s">
        <v>371</v>
      </c>
      <c r="C327" t="s">
        <v>863</v>
      </c>
      <c r="D327" s="14">
        <v>35592</v>
      </c>
      <c r="E327" s="14">
        <v>35599</v>
      </c>
      <c r="F327" t="s">
        <v>859</v>
      </c>
      <c r="G327" s="10">
        <v>7.8650000000000002</v>
      </c>
      <c r="H327" t="s">
        <v>76</v>
      </c>
    </row>
    <row r="328" spans="1:8" x14ac:dyDescent="0.45">
      <c r="A328">
        <v>10566</v>
      </c>
      <c r="B328" t="s">
        <v>47</v>
      </c>
      <c r="C328" t="s">
        <v>861</v>
      </c>
      <c r="D328" s="14">
        <v>35593</v>
      </c>
      <c r="E328" s="14">
        <v>35599</v>
      </c>
      <c r="F328" t="s">
        <v>857</v>
      </c>
      <c r="G328" s="10">
        <v>97.24</v>
      </c>
      <c r="H328" t="s">
        <v>52</v>
      </c>
    </row>
    <row r="329" spans="1:8" x14ac:dyDescent="0.45">
      <c r="A329">
        <v>10567</v>
      </c>
      <c r="B329" t="s">
        <v>266</v>
      </c>
      <c r="C329" t="s">
        <v>862</v>
      </c>
      <c r="D329" s="14">
        <v>35593</v>
      </c>
      <c r="E329" s="14">
        <v>35598</v>
      </c>
      <c r="F329" t="s">
        <v>857</v>
      </c>
      <c r="G329" s="10">
        <v>37.366999999999997</v>
      </c>
      <c r="H329" t="s">
        <v>271</v>
      </c>
    </row>
    <row r="330" spans="1:8" x14ac:dyDescent="0.45">
      <c r="A330">
        <v>10568</v>
      </c>
      <c r="B330" t="s">
        <v>204</v>
      </c>
      <c r="C330" t="s">
        <v>860</v>
      </c>
      <c r="D330" s="14">
        <v>35594</v>
      </c>
      <c r="E330" s="14">
        <v>35620</v>
      </c>
      <c r="F330" t="s">
        <v>855</v>
      </c>
      <c r="G330" s="10">
        <v>7.194</v>
      </c>
      <c r="H330" t="s">
        <v>60</v>
      </c>
    </row>
    <row r="331" spans="1:8" x14ac:dyDescent="0.45">
      <c r="A331">
        <v>10569</v>
      </c>
      <c r="B331" t="s">
        <v>462</v>
      </c>
      <c r="C331" t="s">
        <v>854</v>
      </c>
      <c r="D331" s="14">
        <v>35597</v>
      </c>
      <c r="E331" s="14">
        <v>35622</v>
      </c>
      <c r="F331" t="s">
        <v>857</v>
      </c>
      <c r="G331" s="10">
        <v>64.878</v>
      </c>
      <c r="H331" t="s">
        <v>231</v>
      </c>
    </row>
    <row r="332" spans="1:8" x14ac:dyDescent="0.45">
      <c r="A332">
        <v>10570</v>
      </c>
      <c r="B332" t="s">
        <v>371</v>
      </c>
      <c r="C332" t="s">
        <v>860</v>
      </c>
      <c r="D332" s="14">
        <v>35598</v>
      </c>
      <c r="E332" s="14">
        <v>35600</v>
      </c>
      <c r="F332" t="s">
        <v>855</v>
      </c>
      <c r="G332" s="10">
        <v>207.88900000000001</v>
      </c>
      <c r="H332" t="s">
        <v>76</v>
      </c>
    </row>
    <row r="333" spans="1:8" x14ac:dyDescent="0.45">
      <c r="A333">
        <v>10571</v>
      </c>
      <c r="B333" t="s">
        <v>142</v>
      </c>
      <c r="C333" t="s">
        <v>863</v>
      </c>
      <c r="D333" s="14">
        <v>35598</v>
      </c>
      <c r="E333" s="14">
        <v>35615</v>
      </c>
      <c r="F333" t="s">
        <v>855</v>
      </c>
      <c r="G333" s="10">
        <v>28.666</v>
      </c>
      <c r="H333" t="s">
        <v>147</v>
      </c>
    </row>
    <row r="334" spans="1:8" x14ac:dyDescent="0.45">
      <c r="A334">
        <v>10572</v>
      </c>
      <c r="B334" t="s">
        <v>32</v>
      </c>
      <c r="C334" t="s">
        <v>860</v>
      </c>
      <c r="D334" s="14">
        <v>35599</v>
      </c>
      <c r="E334" s="14">
        <v>35606</v>
      </c>
      <c r="F334" t="s">
        <v>859</v>
      </c>
      <c r="G334" s="10">
        <v>128.07300000000001</v>
      </c>
      <c r="H334" t="s">
        <v>37</v>
      </c>
    </row>
    <row r="335" spans="1:8" x14ac:dyDescent="0.45">
      <c r="A335">
        <v>10573</v>
      </c>
      <c r="B335" t="s">
        <v>18</v>
      </c>
      <c r="C335" t="s">
        <v>865</v>
      </c>
      <c r="D335" s="14">
        <v>35600</v>
      </c>
      <c r="E335" s="14">
        <v>35601</v>
      </c>
      <c r="F335" t="s">
        <v>855</v>
      </c>
      <c r="G335" s="10">
        <v>93.323999999999998</v>
      </c>
      <c r="H335" t="s">
        <v>15</v>
      </c>
    </row>
    <row r="336" spans="1:8" x14ac:dyDescent="0.45">
      <c r="A336">
        <v>10574</v>
      </c>
      <c r="B336" t="s">
        <v>579</v>
      </c>
      <c r="C336" t="s">
        <v>858</v>
      </c>
      <c r="D336" s="14">
        <v>35600</v>
      </c>
      <c r="E336" s="14">
        <v>35611</v>
      </c>
      <c r="F336" t="s">
        <v>859</v>
      </c>
      <c r="G336" s="10">
        <v>41.36</v>
      </c>
      <c r="H336" t="s">
        <v>231</v>
      </c>
    </row>
    <row r="337" spans="1:8" x14ac:dyDescent="0.45">
      <c r="A337">
        <v>10575</v>
      </c>
      <c r="B337" t="s">
        <v>379</v>
      </c>
      <c r="C337" t="s">
        <v>854</v>
      </c>
      <c r="D337" s="14">
        <v>35601</v>
      </c>
      <c r="E337" s="14">
        <v>35611</v>
      </c>
      <c r="F337" t="s">
        <v>857</v>
      </c>
      <c r="G337" s="10">
        <v>140.07400000000001</v>
      </c>
      <c r="H337" t="s">
        <v>7</v>
      </c>
    </row>
    <row r="338" spans="1:8" x14ac:dyDescent="0.45">
      <c r="A338">
        <v>10576</v>
      </c>
      <c r="B338" t="s">
        <v>568</v>
      </c>
      <c r="C338" t="s">
        <v>860</v>
      </c>
      <c r="D338" s="14">
        <v>35604</v>
      </c>
      <c r="E338" s="14">
        <v>35611</v>
      </c>
      <c r="F338" t="s">
        <v>855</v>
      </c>
      <c r="G338" s="10">
        <v>20.416</v>
      </c>
      <c r="H338" t="s">
        <v>15</v>
      </c>
    </row>
    <row r="339" spans="1:8" x14ac:dyDescent="0.45">
      <c r="A339">
        <v>10577</v>
      </c>
      <c r="B339" t="s">
        <v>579</v>
      </c>
      <c r="C339" t="s">
        <v>861</v>
      </c>
      <c r="D339" s="14">
        <v>35604</v>
      </c>
      <c r="E339" s="14">
        <v>35611</v>
      </c>
      <c r="F339" t="s">
        <v>859</v>
      </c>
      <c r="G339" s="10">
        <v>27.951000000000001</v>
      </c>
      <c r="H339" t="s">
        <v>231</v>
      </c>
    </row>
    <row r="340" spans="1:8" x14ac:dyDescent="0.45">
      <c r="A340">
        <v>10578</v>
      </c>
      <c r="B340" t="s">
        <v>79</v>
      </c>
      <c r="C340" t="s">
        <v>858</v>
      </c>
      <c r="D340" s="14">
        <v>35605</v>
      </c>
      <c r="E340" s="14">
        <v>35636</v>
      </c>
      <c r="F340" t="s">
        <v>855</v>
      </c>
      <c r="G340" s="10">
        <v>32.56</v>
      </c>
      <c r="H340" t="s">
        <v>29</v>
      </c>
    </row>
    <row r="341" spans="1:8" x14ac:dyDescent="0.45">
      <c r="A341">
        <v>10579</v>
      </c>
      <c r="B341" t="s">
        <v>325</v>
      </c>
      <c r="C341" t="s">
        <v>862</v>
      </c>
      <c r="D341" s="14">
        <v>35606</v>
      </c>
      <c r="E341" s="14">
        <v>35615</v>
      </c>
      <c r="F341" t="s">
        <v>859</v>
      </c>
      <c r="G341" s="10">
        <v>15.103</v>
      </c>
      <c r="H341" t="s">
        <v>231</v>
      </c>
    </row>
    <row r="342" spans="1:8" x14ac:dyDescent="0.45">
      <c r="A342">
        <v>10580</v>
      </c>
      <c r="B342" t="s">
        <v>405</v>
      </c>
      <c r="C342" t="s">
        <v>858</v>
      </c>
      <c r="D342" s="14">
        <v>35607</v>
      </c>
      <c r="E342" s="14">
        <v>35612</v>
      </c>
      <c r="F342" t="s">
        <v>855</v>
      </c>
      <c r="G342" s="10">
        <v>83.478999999999999</v>
      </c>
      <c r="H342" t="s">
        <v>7</v>
      </c>
    </row>
    <row r="343" spans="1:8" x14ac:dyDescent="0.45">
      <c r="A343">
        <v>10581</v>
      </c>
      <c r="B343" t="s">
        <v>150</v>
      </c>
      <c r="C343" t="s">
        <v>860</v>
      </c>
      <c r="D343" s="14">
        <v>35607</v>
      </c>
      <c r="E343" s="14">
        <v>35613</v>
      </c>
      <c r="F343" t="s">
        <v>857</v>
      </c>
      <c r="G343" s="10">
        <v>3.3109999999999999</v>
      </c>
      <c r="H343" t="s">
        <v>113</v>
      </c>
    </row>
    <row r="344" spans="1:8" x14ac:dyDescent="0.45">
      <c r="A344">
        <v>10582</v>
      </c>
      <c r="B344" t="s">
        <v>40</v>
      </c>
      <c r="C344" t="s">
        <v>860</v>
      </c>
      <c r="D344" s="14">
        <v>35608</v>
      </c>
      <c r="E344" s="14">
        <v>35625</v>
      </c>
      <c r="F344" t="s">
        <v>859</v>
      </c>
      <c r="G344" s="10">
        <v>30.481000000000002</v>
      </c>
      <c r="H344" t="s">
        <v>7</v>
      </c>
    </row>
    <row r="345" spans="1:8" x14ac:dyDescent="0.45">
      <c r="A345">
        <v>10583</v>
      </c>
      <c r="B345" t="s">
        <v>614</v>
      </c>
      <c r="C345" t="s">
        <v>864</v>
      </c>
      <c r="D345" s="14">
        <v>35611</v>
      </c>
      <c r="E345" s="14">
        <v>35615</v>
      </c>
      <c r="F345" t="s">
        <v>859</v>
      </c>
      <c r="G345" s="10">
        <v>8.0079999999999991</v>
      </c>
      <c r="H345" t="s">
        <v>619</v>
      </c>
    </row>
    <row r="346" spans="1:8" x14ac:dyDescent="0.45">
      <c r="A346">
        <v>10584</v>
      </c>
      <c r="B346" t="s">
        <v>47</v>
      </c>
      <c r="C346" t="s">
        <v>858</v>
      </c>
      <c r="D346" s="14">
        <v>35611</v>
      </c>
      <c r="E346" s="14">
        <v>35615</v>
      </c>
      <c r="F346" t="s">
        <v>857</v>
      </c>
      <c r="G346" s="10">
        <v>65.054000000000002</v>
      </c>
      <c r="H346" t="s">
        <v>52</v>
      </c>
    </row>
    <row r="347" spans="1:8" x14ac:dyDescent="0.45">
      <c r="A347">
        <v>10585</v>
      </c>
      <c r="B347" t="s">
        <v>622</v>
      </c>
      <c r="C347" t="s">
        <v>865</v>
      </c>
      <c r="D347" s="14">
        <v>35612</v>
      </c>
      <c r="E347" s="14">
        <v>35621</v>
      </c>
      <c r="F347" t="s">
        <v>857</v>
      </c>
      <c r="G347" s="10">
        <v>14.750999999999999</v>
      </c>
      <c r="H347" t="s">
        <v>113</v>
      </c>
    </row>
    <row r="348" spans="1:8" x14ac:dyDescent="0.45">
      <c r="A348">
        <v>10586</v>
      </c>
      <c r="B348" t="s">
        <v>470</v>
      </c>
      <c r="C348" t="s">
        <v>861</v>
      </c>
      <c r="D348" s="14">
        <v>35613</v>
      </c>
      <c r="E348" s="14">
        <v>35620</v>
      </c>
      <c r="F348" t="s">
        <v>857</v>
      </c>
      <c r="G348" s="10">
        <v>0.52800000000000002</v>
      </c>
      <c r="H348" t="s">
        <v>193</v>
      </c>
    </row>
    <row r="349" spans="1:8" x14ac:dyDescent="0.45">
      <c r="A349">
        <v>10587</v>
      </c>
      <c r="B349" t="s">
        <v>438</v>
      </c>
      <c r="C349" t="s">
        <v>862</v>
      </c>
      <c r="D349" s="14">
        <v>35613</v>
      </c>
      <c r="E349" s="14">
        <v>35620</v>
      </c>
      <c r="F349" t="s">
        <v>857</v>
      </c>
      <c r="G349" s="10">
        <v>68.772000000000006</v>
      </c>
      <c r="H349" t="s">
        <v>113</v>
      </c>
    </row>
    <row r="350" spans="1:8" x14ac:dyDescent="0.45">
      <c r="A350">
        <v>10588</v>
      </c>
      <c r="B350" t="s">
        <v>450</v>
      </c>
      <c r="C350" t="s">
        <v>864</v>
      </c>
      <c r="D350" s="14">
        <v>35614</v>
      </c>
      <c r="E350" s="14">
        <v>35621</v>
      </c>
      <c r="F350" t="s">
        <v>855</v>
      </c>
      <c r="G350" s="10">
        <v>214.137</v>
      </c>
      <c r="H350" t="s">
        <v>7</v>
      </c>
    </row>
    <row r="351" spans="1:8" x14ac:dyDescent="0.45">
      <c r="A351">
        <v>10589</v>
      </c>
      <c r="B351" t="s">
        <v>225</v>
      </c>
      <c r="C351" t="s">
        <v>863</v>
      </c>
      <c r="D351" s="14">
        <v>35615</v>
      </c>
      <c r="E351" s="14">
        <v>35625</v>
      </c>
      <c r="F351" t="s">
        <v>859</v>
      </c>
      <c r="G351" s="10">
        <v>4.8620000000000001</v>
      </c>
      <c r="H351" t="s">
        <v>231</v>
      </c>
    </row>
    <row r="352" spans="1:8" x14ac:dyDescent="0.45">
      <c r="A352">
        <v>10590</v>
      </c>
      <c r="B352" t="s">
        <v>371</v>
      </c>
      <c r="C352" t="s">
        <v>858</v>
      </c>
      <c r="D352" s="14">
        <v>35618</v>
      </c>
      <c r="E352" s="14">
        <v>35625</v>
      </c>
      <c r="F352" t="s">
        <v>855</v>
      </c>
      <c r="G352" s="10">
        <v>49.247</v>
      </c>
      <c r="H352" t="s">
        <v>76</v>
      </c>
    </row>
    <row r="353" spans="1:8" x14ac:dyDescent="0.45">
      <c r="A353">
        <v>10591</v>
      </c>
      <c r="B353" t="s">
        <v>586</v>
      </c>
      <c r="C353" t="s">
        <v>862</v>
      </c>
      <c r="D353" s="14">
        <v>35618</v>
      </c>
      <c r="E353" s="14">
        <v>35627</v>
      </c>
      <c r="F353" t="s">
        <v>857</v>
      </c>
      <c r="G353" s="10">
        <v>61.512</v>
      </c>
      <c r="H353" t="s">
        <v>523</v>
      </c>
    </row>
    <row r="354" spans="1:8" x14ac:dyDescent="0.45">
      <c r="A354">
        <v>10592</v>
      </c>
      <c r="B354" t="s">
        <v>318</v>
      </c>
      <c r="C354" t="s">
        <v>860</v>
      </c>
      <c r="D354" s="14">
        <v>35619</v>
      </c>
      <c r="E354" s="14">
        <v>35627</v>
      </c>
      <c r="F354" t="s">
        <v>857</v>
      </c>
      <c r="G354" s="10">
        <v>35.31</v>
      </c>
      <c r="H354" t="s">
        <v>7</v>
      </c>
    </row>
    <row r="355" spans="1:8" x14ac:dyDescent="0.45">
      <c r="A355">
        <v>10593</v>
      </c>
      <c r="B355" t="s">
        <v>318</v>
      </c>
      <c r="C355" t="s">
        <v>865</v>
      </c>
      <c r="D355" s="14">
        <v>35620</v>
      </c>
      <c r="E355" s="14">
        <v>35655</v>
      </c>
      <c r="F355" t="s">
        <v>859</v>
      </c>
      <c r="G355" s="10">
        <v>191.62</v>
      </c>
      <c r="H355" t="s">
        <v>7</v>
      </c>
    </row>
    <row r="356" spans="1:8" x14ac:dyDescent="0.45">
      <c r="A356">
        <v>10594</v>
      </c>
      <c r="B356" t="s">
        <v>397</v>
      </c>
      <c r="C356" t="s">
        <v>860</v>
      </c>
      <c r="D356" s="14">
        <v>35620</v>
      </c>
      <c r="E356" s="14">
        <v>35627</v>
      </c>
      <c r="F356" t="s">
        <v>859</v>
      </c>
      <c r="G356" s="10">
        <v>5.7640000000000002</v>
      </c>
      <c r="H356" t="s">
        <v>231</v>
      </c>
    </row>
    <row r="357" spans="1:8" x14ac:dyDescent="0.45">
      <c r="A357">
        <v>10595</v>
      </c>
      <c r="B357" t="s">
        <v>142</v>
      </c>
      <c r="C357" t="s">
        <v>864</v>
      </c>
      <c r="D357" s="14">
        <v>35621</v>
      </c>
      <c r="E357" s="14">
        <v>35625</v>
      </c>
      <c r="F357" t="s">
        <v>857</v>
      </c>
      <c r="G357" s="10">
        <v>106.458</v>
      </c>
      <c r="H357" t="s">
        <v>147</v>
      </c>
    </row>
    <row r="358" spans="1:8" x14ac:dyDescent="0.45">
      <c r="A358">
        <v>10596</v>
      </c>
      <c r="B358" t="s">
        <v>629</v>
      </c>
      <c r="C358" t="s">
        <v>863</v>
      </c>
      <c r="D358" s="14">
        <v>35622</v>
      </c>
      <c r="E358" s="14">
        <v>35654</v>
      </c>
      <c r="F358" t="s">
        <v>857</v>
      </c>
      <c r="G358" s="10">
        <v>17.974</v>
      </c>
      <c r="H358" t="s">
        <v>231</v>
      </c>
    </row>
    <row r="359" spans="1:8" x14ac:dyDescent="0.45">
      <c r="A359">
        <v>10597</v>
      </c>
      <c r="B359" t="s">
        <v>425</v>
      </c>
      <c r="C359" t="s">
        <v>865</v>
      </c>
      <c r="D359" s="14">
        <v>35622</v>
      </c>
      <c r="E359" s="14">
        <v>35629</v>
      </c>
      <c r="F359" t="s">
        <v>855</v>
      </c>
      <c r="G359" s="10">
        <v>38.631999999999998</v>
      </c>
      <c r="H359" t="s">
        <v>147</v>
      </c>
    </row>
    <row r="360" spans="1:8" x14ac:dyDescent="0.45">
      <c r="A360">
        <v>10598</v>
      </c>
      <c r="B360" t="s">
        <v>462</v>
      </c>
      <c r="C360" t="s">
        <v>862</v>
      </c>
      <c r="D360" s="14">
        <v>35625</v>
      </c>
      <c r="E360" s="14">
        <v>35629</v>
      </c>
      <c r="F360" t="s">
        <v>855</v>
      </c>
      <c r="G360" s="10">
        <v>48.862000000000002</v>
      </c>
      <c r="H360" t="s">
        <v>231</v>
      </c>
    </row>
    <row r="361" spans="1:8" x14ac:dyDescent="0.45">
      <c r="A361">
        <v>10599</v>
      </c>
      <c r="B361" t="s">
        <v>79</v>
      </c>
      <c r="C361" t="s">
        <v>856</v>
      </c>
      <c r="D361" s="14">
        <v>35626</v>
      </c>
      <c r="E361" s="14">
        <v>35632</v>
      </c>
      <c r="F361" t="s">
        <v>855</v>
      </c>
      <c r="G361" s="10">
        <v>32.978000000000002</v>
      </c>
      <c r="H361" t="s">
        <v>29</v>
      </c>
    </row>
    <row r="362" spans="1:8" x14ac:dyDescent="0.45">
      <c r="A362">
        <v>10600</v>
      </c>
      <c r="B362" t="s">
        <v>259</v>
      </c>
      <c r="C362" t="s">
        <v>858</v>
      </c>
      <c r="D362" s="14">
        <v>35627</v>
      </c>
      <c r="E362" s="14">
        <v>35632</v>
      </c>
      <c r="F362" t="s">
        <v>857</v>
      </c>
      <c r="G362" s="10">
        <v>49.643000000000001</v>
      </c>
      <c r="H362" t="s">
        <v>231</v>
      </c>
    </row>
    <row r="363" spans="1:8" x14ac:dyDescent="0.45">
      <c r="A363">
        <v>10601</v>
      </c>
      <c r="B363" t="s">
        <v>251</v>
      </c>
      <c r="C363" t="s">
        <v>865</v>
      </c>
      <c r="D363" s="14">
        <v>35627</v>
      </c>
      <c r="E363" s="14">
        <v>35633</v>
      </c>
      <c r="F363" t="s">
        <v>857</v>
      </c>
      <c r="G363" s="10">
        <v>64.13</v>
      </c>
      <c r="H363" t="s">
        <v>240</v>
      </c>
    </row>
    <row r="364" spans="1:8" x14ac:dyDescent="0.45">
      <c r="A364">
        <v>10602</v>
      </c>
      <c r="B364" t="s">
        <v>586</v>
      </c>
      <c r="C364" t="s">
        <v>863</v>
      </c>
      <c r="D364" s="14">
        <v>35628</v>
      </c>
      <c r="E364" s="14">
        <v>35633</v>
      </c>
      <c r="F364" t="s">
        <v>859</v>
      </c>
      <c r="G364" s="10">
        <v>3.2120000000000002</v>
      </c>
      <c r="H364" t="s">
        <v>523</v>
      </c>
    </row>
    <row r="365" spans="1:8" x14ac:dyDescent="0.45">
      <c r="A365">
        <v>10603</v>
      </c>
      <c r="B365" t="s">
        <v>504</v>
      </c>
      <c r="C365" t="s">
        <v>863</v>
      </c>
      <c r="D365" s="14">
        <v>35629</v>
      </c>
      <c r="E365" s="14">
        <v>35650</v>
      </c>
      <c r="F365" t="s">
        <v>859</v>
      </c>
      <c r="G365" s="10">
        <v>53.646999999999998</v>
      </c>
      <c r="H365" t="s">
        <v>231</v>
      </c>
    </row>
    <row r="366" spans="1:8" x14ac:dyDescent="0.45">
      <c r="A366">
        <v>10604</v>
      </c>
      <c r="B366" t="s">
        <v>196</v>
      </c>
      <c r="C366" t="s">
        <v>862</v>
      </c>
      <c r="D366" s="14">
        <v>35629</v>
      </c>
      <c r="E366" s="14">
        <v>35640</v>
      </c>
      <c r="F366" t="s">
        <v>857</v>
      </c>
      <c r="G366" s="10">
        <v>8.2059999999999995</v>
      </c>
      <c r="H366" t="s">
        <v>201</v>
      </c>
    </row>
    <row r="367" spans="1:8" x14ac:dyDescent="0.45">
      <c r="A367">
        <v>10605</v>
      </c>
      <c r="B367" t="s">
        <v>371</v>
      </c>
      <c r="C367" t="s">
        <v>862</v>
      </c>
      <c r="D367" s="14">
        <v>35632</v>
      </c>
      <c r="E367" s="14">
        <v>35640</v>
      </c>
      <c r="F367" t="s">
        <v>859</v>
      </c>
      <c r="G367" s="10">
        <v>417.04300000000001</v>
      </c>
      <c r="H367" t="s">
        <v>76</v>
      </c>
    </row>
    <row r="368" spans="1:8" x14ac:dyDescent="0.45">
      <c r="A368">
        <v>10606</v>
      </c>
      <c r="B368" t="s">
        <v>573</v>
      </c>
      <c r="C368" t="s">
        <v>858</v>
      </c>
      <c r="D368" s="14">
        <v>35633</v>
      </c>
      <c r="E368" s="14">
        <v>35642</v>
      </c>
      <c r="F368" t="s">
        <v>855</v>
      </c>
      <c r="G368" s="10">
        <v>87.34</v>
      </c>
      <c r="H368" t="s">
        <v>113</v>
      </c>
    </row>
    <row r="369" spans="1:8" x14ac:dyDescent="0.45">
      <c r="A369">
        <v>10607</v>
      </c>
      <c r="B369" t="s">
        <v>504</v>
      </c>
      <c r="C369" t="s">
        <v>854</v>
      </c>
      <c r="D369" s="14">
        <v>35633</v>
      </c>
      <c r="E369" s="14">
        <v>35636</v>
      </c>
      <c r="F369" t="s">
        <v>857</v>
      </c>
      <c r="G369" s="10">
        <v>220.26400000000001</v>
      </c>
      <c r="H369" t="s">
        <v>231</v>
      </c>
    </row>
    <row r="370" spans="1:8" x14ac:dyDescent="0.45">
      <c r="A370">
        <v>10608</v>
      </c>
      <c r="B370" t="s">
        <v>561</v>
      </c>
      <c r="C370" t="s">
        <v>858</v>
      </c>
      <c r="D370" s="14">
        <v>35634</v>
      </c>
      <c r="E370" s="14">
        <v>35643</v>
      </c>
      <c r="F370" t="s">
        <v>859</v>
      </c>
      <c r="G370" s="10">
        <v>30.568999999999999</v>
      </c>
      <c r="H370" t="s">
        <v>7</v>
      </c>
    </row>
    <row r="371" spans="1:8" x14ac:dyDescent="0.45">
      <c r="A371">
        <v>10609</v>
      </c>
      <c r="B371" t="s">
        <v>129</v>
      </c>
      <c r="C371" t="s">
        <v>865</v>
      </c>
      <c r="D371" s="14">
        <v>35635</v>
      </c>
      <c r="E371" s="14">
        <v>35641</v>
      </c>
      <c r="F371" t="s">
        <v>859</v>
      </c>
      <c r="G371" s="10">
        <v>2.0350000000000001</v>
      </c>
      <c r="H371" t="s">
        <v>52</v>
      </c>
    </row>
    <row r="372" spans="1:8" x14ac:dyDescent="0.45">
      <c r="A372">
        <v>10610</v>
      </c>
      <c r="B372" t="s">
        <v>296</v>
      </c>
      <c r="C372" t="s">
        <v>863</v>
      </c>
      <c r="D372" s="14">
        <v>35636</v>
      </c>
      <c r="E372" s="14">
        <v>35648</v>
      </c>
      <c r="F372" t="s">
        <v>857</v>
      </c>
      <c r="G372" s="10">
        <v>29.457999999999998</v>
      </c>
      <c r="H372" t="s">
        <v>52</v>
      </c>
    </row>
    <row r="373" spans="1:8" x14ac:dyDescent="0.45">
      <c r="A373">
        <v>10611</v>
      </c>
      <c r="B373" t="s">
        <v>643</v>
      </c>
      <c r="C373" t="s">
        <v>856</v>
      </c>
      <c r="D373" s="14">
        <v>35636</v>
      </c>
      <c r="E373" s="14">
        <v>35643</v>
      </c>
      <c r="F373" t="s">
        <v>859</v>
      </c>
      <c r="G373" s="10">
        <v>88.715000000000003</v>
      </c>
      <c r="H373" t="s">
        <v>648</v>
      </c>
    </row>
    <row r="374" spans="1:8" x14ac:dyDescent="0.45">
      <c r="A374">
        <v>10612</v>
      </c>
      <c r="B374" t="s">
        <v>504</v>
      </c>
      <c r="C374" t="s">
        <v>862</v>
      </c>
      <c r="D374" s="14">
        <v>35639</v>
      </c>
      <c r="E374" s="14">
        <v>35643</v>
      </c>
      <c r="F374" t="s">
        <v>859</v>
      </c>
      <c r="G374" s="10">
        <v>598.48800000000006</v>
      </c>
      <c r="H374" t="s">
        <v>231</v>
      </c>
    </row>
    <row r="375" spans="1:8" x14ac:dyDescent="0.45">
      <c r="A375">
        <v>10613</v>
      </c>
      <c r="B375" t="s">
        <v>251</v>
      </c>
      <c r="C375" t="s">
        <v>858</v>
      </c>
      <c r="D375" s="14">
        <v>35640</v>
      </c>
      <c r="E375" s="14">
        <v>35643</v>
      </c>
      <c r="F375" t="s">
        <v>859</v>
      </c>
      <c r="G375" s="10">
        <v>8.9209999999999994</v>
      </c>
      <c r="H375" t="s">
        <v>240</v>
      </c>
    </row>
    <row r="376" spans="1:8" x14ac:dyDescent="0.45">
      <c r="A376">
        <v>10614</v>
      </c>
      <c r="B376" t="s">
        <v>40</v>
      </c>
      <c r="C376" t="s">
        <v>863</v>
      </c>
      <c r="D376" s="14">
        <v>35640</v>
      </c>
      <c r="E376" s="14">
        <v>35643</v>
      </c>
      <c r="F376" t="s">
        <v>855</v>
      </c>
      <c r="G376" s="10">
        <v>2.1230000000000002</v>
      </c>
      <c r="H376" t="s">
        <v>7</v>
      </c>
    </row>
    <row r="377" spans="1:8" x14ac:dyDescent="0.45">
      <c r="A377">
        <v>10615</v>
      </c>
      <c r="B377" t="s">
        <v>636</v>
      </c>
      <c r="C377" t="s">
        <v>864</v>
      </c>
      <c r="D377" s="14">
        <v>35641</v>
      </c>
      <c r="E377" s="14">
        <v>35648</v>
      </c>
      <c r="F377" t="s">
        <v>855</v>
      </c>
      <c r="G377" s="10">
        <v>0.82499999999999996</v>
      </c>
      <c r="H377" t="s">
        <v>619</v>
      </c>
    </row>
    <row r="378" spans="1:8" x14ac:dyDescent="0.45">
      <c r="A378">
        <v>10616</v>
      </c>
      <c r="B378" t="s">
        <v>225</v>
      </c>
      <c r="C378" t="s">
        <v>862</v>
      </c>
      <c r="D378" s="14">
        <v>35642</v>
      </c>
      <c r="E378" s="14">
        <v>35647</v>
      </c>
      <c r="F378" t="s">
        <v>859</v>
      </c>
      <c r="G378" s="10">
        <v>128.18299999999999</v>
      </c>
      <c r="H378" t="s">
        <v>231</v>
      </c>
    </row>
    <row r="379" spans="1:8" x14ac:dyDescent="0.45">
      <c r="A379">
        <v>10617</v>
      </c>
      <c r="B379" t="s">
        <v>225</v>
      </c>
      <c r="C379" t="s">
        <v>858</v>
      </c>
      <c r="D379" s="14">
        <v>35642</v>
      </c>
      <c r="E379" s="14">
        <v>35646</v>
      </c>
      <c r="F379" t="s">
        <v>859</v>
      </c>
      <c r="G379" s="10">
        <v>20.382999999999999</v>
      </c>
      <c r="H379" t="s">
        <v>231</v>
      </c>
    </row>
    <row r="380" spans="1:8" x14ac:dyDescent="0.45">
      <c r="A380">
        <v>10618</v>
      </c>
      <c r="B380" t="s">
        <v>371</v>
      </c>
      <c r="C380" t="s">
        <v>862</v>
      </c>
      <c r="D380" s="14">
        <v>35643</v>
      </c>
      <c r="E380" s="14">
        <v>35650</v>
      </c>
      <c r="F380" t="s">
        <v>857</v>
      </c>
      <c r="G380" s="10">
        <v>170.148</v>
      </c>
      <c r="H380" t="s">
        <v>76</v>
      </c>
    </row>
    <row r="381" spans="1:8" x14ac:dyDescent="0.45">
      <c r="A381">
        <v>10619</v>
      </c>
      <c r="B381" t="s">
        <v>371</v>
      </c>
      <c r="C381" t="s">
        <v>860</v>
      </c>
      <c r="D381" s="14">
        <v>35646</v>
      </c>
      <c r="E381" s="14">
        <v>35649</v>
      </c>
      <c r="F381" t="s">
        <v>855</v>
      </c>
      <c r="G381" s="10">
        <v>100.155</v>
      </c>
      <c r="H381" t="s">
        <v>76</v>
      </c>
    </row>
    <row r="382" spans="1:8" x14ac:dyDescent="0.45">
      <c r="A382">
        <v>10620</v>
      </c>
      <c r="B382" t="s">
        <v>303</v>
      </c>
      <c r="C382" t="s">
        <v>864</v>
      </c>
      <c r="D382" s="14">
        <v>35647</v>
      </c>
      <c r="E382" s="14">
        <v>35656</v>
      </c>
      <c r="F382" t="s">
        <v>855</v>
      </c>
      <c r="G382" s="10">
        <v>1.034</v>
      </c>
      <c r="H382" t="s">
        <v>76</v>
      </c>
    </row>
    <row r="383" spans="1:8" x14ac:dyDescent="0.45">
      <c r="A383">
        <v>10621</v>
      </c>
      <c r="B383" t="s">
        <v>274</v>
      </c>
      <c r="C383" t="s">
        <v>858</v>
      </c>
      <c r="D383" s="14">
        <v>35647</v>
      </c>
      <c r="E383" s="14">
        <v>35653</v>
      </c>
      <c r="F383" t="s">
        <v>859</v>
      </c>
      <c r="G383" s="10">
        <v>26.103000000000002</v>
      </c>
      <c r="H383" t="s">
        <v>29</v>
      </c>
    </row>
    <row r="384" spans="1:8" x14ac:dyDescent="0.45">
      <c r="A384">
        <v>10622</v>
      </c>
      <c r="B384" t="s">
        <v>477</v>
      </c>
      <c r="C384" t="s">
        <v>858</v>
      </c>
      <c r="D384" s="14">
        <v>35648</v>
      </c>
      <c r="E384" s="14">
        <v>35653</v>
      </c>
      <c r="F384" t="s">
        <v>855</v>
      </c>
      <c r="G384" s="10">
        <v>56.067</v>
      </c>
      <c r="H384" t="s">
        <v>113</v>
      </c>
    </row>
    <row r="385" spans="1:8" x14ac:dyDescent="0.45">
      <c r="A385">
        <v>10623</v>
      </c>
      <c r="B385" t="s">
        <v>176</v>
      </c>
      <c r="C385" t="s">
        <v>863</v>
      </c>
      <c r="D385" s="14">
        <v>35649</v>
      </c>
      <c r="E385" s="14">
        <v>35654</v>
      </c>
      <c r="F385" t="s">
        <v>859</v>
      </c>
      <c r="G385" s="10">
        <v>106.898</v>
      </c>
      <c r="H385" t="s">
        <v>7</v>
      </c>
    </row>
    <row r="386" spans="1:8" x14ac:dyDescent="0.45">
      <c r="A386">
        <v>10624</v>
      </c>
      <c r="B386" t="s">
        <v>553</v>
      </c>
      <c r="C386" t="s">
        <v>858</v>
      </c>
      <c r="D386" s="14">
        <v>35649</v>
      </c>
      <c r="E386" s="14">
        <v>35661</v>
      </c>
      <c r="F386" t="s">
        <v>859</v>
      </c>
      <c r="G386" s="10">
        <v>104.28</v>
      </c>
      <c r="H386" t="s">
        <v>231</v>
      </c>
    </row>
    <row r="387" spans="1:8" x14ac:dyDescent="0.45">
      <c r="A387">
        <v>10625</v>
      </c>
      <c r="B387" t="s">
        <v>10</v>
      </c>
      <c r="C387" t="s">
        <v>860</v>
      </c>
      <c r="D387" s="14">
        <v>35650</v>
      </c>
      <c r="E387" s="14">
        <v>35656</v>
      </c>
      <c r="F387" t="s">
        <v>857</v>
      </c>
      <c r="G387" s="10">
        <v>48.29</v>
      </c>
      <c r="H387" t="s">
        <v>15</v>
      </c>
    </row>
    <row r="388" spans="1:8" x14ac:dyDescent="0.45">
      <c r="A388">
        <v>10626</v>
      </c>
      <c r="B388" t="s">
        <v>32</v>
      </c>
      <c r="C388" t="s">
        <v>862</v>
      </c>
      <c r="D388" s="14">
        <v>35653</v>
      </c>
      <c r="E388" s="14">
        <v>35662</v>
      </c>
      <c r="F388" t="s">
        <v>859</v>
      </c>
      <c r="G388" s="10">
        <v>152.559</v>
      </c>
      <c r="H388" t="s">
        <v>37</v>
      </c>
    </row>
    <row r="389" spans="1:8" x14ac:dyDescent="0.45">
      <c r="A389">
        <v>10627</v>
      </c>
      <c r="B389" t="s">
        <v>504</v>
      </c>
      <c r="C389" t="s">
        <v>863</v>
      </c>
      <c r="D389" s="14">
        <v>35653</v>
      </c>
      <c r="E389" s="14">
        <v>35663</v>
      </c>
      <c r="F389" t="s">
        <v>855</v>
      </c>
      <c r="G389" s="10">
        <v>118.206</v>
      </c>
      <c r="H389" t="s">
        <v>231</v>
      </c>
    </row>
    <row r="390" spans="1:8" x14ac:dyDescent="0.45">
      <c r="A390">
        <v>10628</v>
      </c>
      <c r="B390" t="s">
        <v>47</v>
      </c>
      <c r="C390" t="s">
        <v>858</v>
      </c>
      <c r="D390" s="14">
        <v>35654</v>
      </c>
      <c r="E390" s="14">
        <v>35662</v>
      </c>
      <c r="F390" t="s">
        <v>855</v>
      </c>
      <c r="G390" s="10">
        <v>33.396000000000001</v>
      </c>
      <c r="H390" t="s">
        <v>52</v>
      </c>
    </row>
    <row r="391" spans="1:8" x14ac:dyDescent="0.45">
      <c r="A391">
        <v>10629</v>
      </c>
      <c r="B391" t="s">
        <v>211</v>
      </c>
      <c r="C391" t="s">
        <v>858</v>
      </c>
      <c r="D391" s="14">
        <v>35654</v>
      </c>
      <c r="E391" s="14">
        <v>35662</v>
      </c>
      <c r="F391" t="s">
        <v>855</v>
      </c>
      <c r="G391" s="10">
        <v>94.006</v>
      </c>
      <c r="H391" t="s">
        <v>60</v>
      </c>
    </row>
    <row r="392" spans="1:8" x14ac:dyDescent="0.45">
      <c r="A392">
        <v>10630</v>
      </c>
      <c r="B392" t="s">
        <v>282</v>
      </c>
      <c r="C392" t="s">
        <v>862</v>
      </c>
      <c r="D392" s="14">
        <v>35655</v>
      </c>
      <c r="E392" s="14">
        <v>35661</v>
      </c>
      <c r="F392" t="s">
        <v>859</v>
      </c>
      <c r="G392" s="10">
        <v>35.585000000000001</v>
      </c>
      <c r="H392" t="s">
        <v>7</v>
      </c>
    </row>
    <row r="393" spans="1:8" x14ac:dyDescent="0.45">
      <c r="A393">
        <v>10631</v>
      </c>
      <c r="B393" t="s">
        <v>296</v>
      </c>
      <c r="C393" t="s">
        <v>863</v>
      </c>
      <c r="D393" s="14">
        <v>35656</v>
      </c>
      <c r="E393" s="14">
        <v>35657</v>
      </c>
      <c r="F393" t="s">
        <v>857</v>
      </c>
      <c r="G393" s="10">
        <v>0.95699999999999996</v>
      </c>
      <c r="H393" t="s">
        <v>52</v>
      </c>
    </row>
    <row r="394" spans="1:8" x14ac:dyDescent="0.45">
      <c r="A394">
        <v>10632</v>
      </c>
      <c r="B394" t="s">
        <v>607</v>
      </c>
      <c r="C394" t="s">
        <v>863</v>
      </c>
      <c r="D394" s="14">
        <v>35656</v>
      </c>
      <c r="E394" s="14">
        <v>35661</v>
      </c>
      <c r="F394" t="s">
        <v>857</v>
      </c>
      <c r="G394" s="10">
        <v>45.518000000000001</v>
      </c>
      <c r="H394" t="s">
        <v>7</v>
      </c>
    </row>
    <row r="395" spans="1:8" x14ac:dyDescent="0.45">
      <c r="A395">
        <v>10633</v>
      </c>
      <c r="B395" t="s">
        <v>142</v>
      </c>
      <c r="C395" t="s">
        <v>865</v>
      </c>
      <c r="D395" s="14">
        <v>35657</v>
      </c>
      <c r="E395" s="14">
        <v>35660</v>
      </c>
      <c r="F395" t="s">
        <v>855</v>
      </c>
      <c r="G395" s="10">
        <v>525.69000000000005</v>
      </c>
      <c r="H395" t="s">
        <v>147</v>
      </c>
    </row>
    <row r="396" spans="1:8" x14ac:dyDescent="0.45">
      <c r="A396">
        <v>10634</v>
      </c>
      <c r="B396" t="s">
        <v>162</v>
      </c>
      <c r="C396" t="s">
        <v>858</v>
      </c>
      <c r="D396" s="14">
        <v>35657</v>
      </c>
      <c r="E396" s="14">
        <v>35663</v>
      </c>
      <c r="F396" t="s">
        <v>855</v>
      </c>
      <c r="G396" s="10">
        <v>536.11800000000005</v>
      </c>
      <c r="H396" t="s">
        <v>52</v>
      </c>
    </row>
    <row r="397" spans="1:8" x14ac:dyDescent="0.45">
      <c r="A397">
        <v>10635</v>
      </c>
      <c r="B397" t="s">
        <v>356</v>
      </c>
      <c r="C397" t="s">
        <v>863</v>
      </c>
      <c r="D397" s="14">
        <v>35660</v>
      </c>
      <c r="E397" s="14">
        <v>35663</v>
      </c>
      <c r="F397" t="s">
        <v>855</v>
      </c>
      <c r="G397" s="10">
        <v>52.206000000000003</v>
      </c>
      <c r="H397" t="s">
        <v>193</v>
      </c>
    </row>
    <row r="398" spans="1:8" x14ac:dyDescent="0.45">
      <c r="A398">
        <v>10636</v>
      </c>
      <c r="B398" t="s">
        <v>614</v>
      </c>
      <c r="C398" t="s">
        <v>858</v>
      </c>
      <c r="D398" s="14">
        <v>35661</v>
      </c>
      <c r="E398" s="14">
        <v>35668</v>
      </c>
      <c r="F398" t="s">
        <v>857</v>
      </c>
      <c r="G398" s="10">
        <v>1.2649999999999999</v>
      </c>
      <c r="H398" t="s">
        <v>619</v>
      </c>
    </row>
    <row r="399" spans="1:8" x14ac:dyDescent="0.45">
      <c r="A399">
        <v>10637</v>
      </c>
      <c r="B399" t="s">
        <v>444</v>
      </c>
      <c r="C399" t="s">
        <v>856</v>
      </c>
      <c r="D399" s="14">
        <v>35661</v>
      </c>
      <c r="E399" s="14">
        <v>35668</v>
      </c>
      <c r="F399" t="s">
        <v>857</v>
      </c>
      <c r="G399" s="10">
        <v>221.41900000000001</v>
      </c>
      <c r="H399" t="s">
        <v>113</v>
      </c>
    </row>
    <row r="400" spans="1:8" x14ac:dyDescent="0.45">
      <c r="A400">
        <v>10638</v>
      </c>
      <c r="B400" t="s">
        <v>341</v>
      </c>
      <c r="C400" t="s">
        <v>860</v>
      </c>
      <c r="D400" s="14">
        <v>35662</v>
      </c>
      <c r="E400" s="14">
        <v>35674</v>
      </c>
      <c r="F400" t="s">
        <v>857</v>
      </c>
      <c r="G400" s="10">
        <v>174.28399999999999</v>
      </c>
      <c r="H400" t="s">
        <v>240</v>
      </c>
    </row>
    <row r="401" spans="1:8" x14ac:dyDescent="0.45">
      <c r="A401">
        <v>10639</v>
      </c>
      <c r="B401" t="s">
        <v>496</v>
      </c>
      <c r="C401" t="s">
        <v>865</v>
      </c>
      <c r="D401" s="14">
        <v>35662</v>
      </c>
      <c r="E401" s="14">
        <v>35669</v>
      </c>
      <c r="F401" t="s">
        <v>855</v>
      </c>
      <c r="G401" s="10">
        <v>42.503999999999998</v>
      </c>
      <c r="H401" t="s">
        <v>501</v>
      </c>
    </row>
    <row r="402" spans="1:8" x14ac:dyDescent="0.45">
      <c r="A402">
        <v>10640</v>
      </c>
      <c r="B402" t="s">
        <v>607</v>
      </c>
      <c r="C402" t="s">
        <v>858</v>
      </c>
      <c r="D402" s="14">
        <v>35663</v>
      </c>
      <c r="E402" s="14">
        <v>35670</v>
      </c>
      <c r="F402" t="s">
        <v>857</v>
      </c>
      <c r="G402" s="10">
        <v>25.905000000000001</v>
      </c>
      <c r="H402" t="s">
        <v>7</v>
      </c>
    </row>
    <row r="403" spans="1:8" x14ac:dyDescent="0.45">
      <c r="A403">
        <v>10641</v>
      </c>
      <c r="B403" t="s">
        <v>251</v>
      </c>
      <c r="C403" t="s">
        <v>858</v>
      </c>
      <c r="D403" s="14">
        <v>35664</v>
      </c>
      <c r="E403" s="14">
        <v>35668</v>
      </c>
      <c r="F403" t="s">
        <v>859</v>
      </c>
      <c r="G403" s="10">
        <v>197.571</v>
      </c>
      <c r="H403" t="s">
        <v>240</v>
      </c>
    </row>
    <row r="404" spans="1:8" x14ac:dyDescent="0.45">
      <c r="A404">
        <v>10642</v>
      </c>
      <c r="B404" t="s">
        <v>518</v>
      </c>
      <c r="C404" t="s">
        <v>865</v>
      </c>
      <c r="D404" s="14">
        <v>35664</v>
      </c>
      <c r="E404" s="14">
        <v>35678</v>
      </c>
      <c r="F404" t="s">
        <v>855</v>
      </c>
      <c r="G404" s="10">
        <v>46.079000000000001</v>
      </c>
      <c r="H404" t="s">
        <v>523</v>
      </c>
    </row>
    <row r="405" spans="1:8" x14ac:dyDescent="0.45">
      <c r="A405">
        <v>10643</v>
      </c>
      <c r="B405" t="s">
        <v>1</v>
      </c>
      <c r="C405" t="s">
        <v>856</v>
      </c>
      <c r="D405" s="14">
        <v>35667</v>
      </c>
      <c r="E405" s="14">
        <v>35675</v>
      </c>
      <c r="F405" t="s">
        <v>857</v>
      </c>
      <c r="G405" s="10">
        <v>32.405999999999999</v>
      </c>
      <c r="H405" t="s">
        <v>7</v>
      </c>
    </row>
    <row r="406" spans="1:8" x14ac:dyDescent="0.45">
      <c r="A406">
        <v>10644</v>
      </c>
      <c r="B406" t="s">
        <v>622</v>
      </c>
      <c r="C406" t="s">
        <v>860</v>
      </c>
      <c r="D406" s="14">
        <v>35667</v>
      </c>
      <c r="E406" s="14">
        <v>35674</v>
      </c>
      <c r="F406" t="s">
        <v>859</v>
      </c>
      <c r="G406" s="10">
        <v>0.154</v>
      </c>
      <c r="H406" t="s">
        <v>113</v>
      </c>
    </row>
    <row r="407" spans="1:8" x14ac:dyDescent="0.45">
      <c r="A407">
        <v>10645</v>
      </c>
      <c r="B407" t="s">
        <v>243</v>
      </c>
      <c r="C407" t="s">
        <v>858</v>
      </c>
      <c r="D407" s="14">
        <v>35668</v>
      </c>
      <c r="E407" s="14">
        <v>35675</v>
      </c>
      <c r="F407" t="s">
        <v>857</v>
      </c>
      <c r="G407" s="10">
        <v>13.651</v>
      </c>
      <c r="H407" t="s">
        <v>113</v>
      </c>
    </row>
    <row r="408" spans="1:8" x14ac:dyDescent="0.45">
      <c r="A408">
        <v>10646</v>
      </c>
      <c r="B408" t="s">
        <v>266</v>
      </c>
      <c r="C408" t="s">
        <v>861</v>
      </c>
      <c r="D408" s="14">
        <v>35669</v>
      </c>
      <c r="E408" s="14">
        <v>35676</v>
      </c>
      <c r="F408" t="s">
        <v>855</v>
      </c>
      <c r="G408" s="10">
        <v>156.56299999999999</v>
      </c>
      <c r="H408" t="s">
        <v>271</v>
      </c>
    </row>
    <row r="409" spans="1:8" x14ac:dyDescent="0.45">
      <c r="A409">
        <v>10647</v>
      </c>
      <c r="B409" t="s">
        <v>438</v>
      </c>
      <c r="C409" t="s">
        <v>858</v>
      </c>
      <c r="D409" s="14">
        <v>35669</v>
      </c>
      <c r="E409" s="14">
        <v>35676</v>
      </c>
      <c r="F409" t="s">
        <v>859</v>
      </c>
      <c r="G409" s="10">
        <v>50.094000000000001</v>
      </c>
      <c r="H409" t="s">
        <v>113</v>
      </c>
    </row>
    <row r="410" spans="1:8" x14ac:dyDescent="0.45">
      <c r="A410">
        <v>10648</v>
      </c>
      <c r="B410" t="s">
        <v>477</v>
      </c>
      <c r="C410" t="s">
        <v>854</v>
      </c>
      <c r="D410" s="14">
        <v>35670</v>
      </c>
      <c r="E410" s="14">
        <v>35682</v>
      </c>
      <c r="F410" t="s">
        <v>859</v>
      </c>
      <c r="G410" s="10">
        <v>15.675000000000001</v>
      </c>
      <c r="H410" t="s">
        <v>113</v>
      </c>
    </row>
    <row r="411" spans="1:8" x14ac:dyDescent="0.45">
      <c r="A411">
        <v>10649</v>
      </c>
      <c r="B411" t="s">
        <v>363</v>
      </c>
      <c r="C411" t="s">
        <v>854</v>
      </c>
      <c r="D411" s="14">
        <v>35670</v>
      </c>
      <c r="E411" s="14">
        <v>35671</v>
      </c>
      <c r="F411" t="s">
        <v>855</v>
      </c>
      <c r="G411" s="10">
        <v>6.82</v>
      </c>
      <c r="H411" t="s">
        <v>368</v>
      </c>
    </row>
    <row r="412" spans="1:8" x14ac:dyDescent="0.45">
      <c r="A412">
        <v>10650</v>
      </c>
      <c r="B412" t="s">
        <v>150</v>
      </c>
      <c r="C412" t="s">
        <v>854</v>
      </c>
      <c r="D412" s="14">
        <v>35671</v>
      </c>
      <c r="E412" s="14">
        <v>35676</v>
      </c>
      <c r="F412" t="s">
        <v>855</v>
      </c>
      <c r="G412" s="10">
        <v>194.49100000000001</v>
      </c>
      <c r="H412" t="s">
        <v>113</v>
      </c>
    </row>
    <row r="413" spans="1:8" x14ac:dyDescent="0.45">
      <c r="A413">
        <v>10651</v>
      </c>
      <c r="B413" t="s">
        <v>607</v>
      </c>
      <c r="C413" t="s">
        <v>863</v>
      </c>
      <c r="D413" s="14">
        <v>35674</v>
      </c>
      <c r="E413" s="14">
        <v>35684</v>
      </c>
      <c r="F413" t="s">
        <v>859</v>
      </c>
      <c r="G413" s="10">
        <v>22.66</v>
      </c>
      <c r="H413" t="s">
        <v>7</v>
      </c>
    </row>
    <row r="414" spans="1:8" x14ac:dyDescent="0.45">
      <c r="A414">
        <v>10652</v>
      </c>
      <c r="B414" t="s">
        <v>218</v>
      </c>
      <c r="C414" t="s">
        <v>858</v>
      </c>
      <c r="D414" s="14">
        <v>35674</v>
      </c>
      <c r="E414" s="14">
        <v>35681</v>
      </c>
      <c r="F414" t="s">
        <v>859</v>
      </c>
      <c r="G414" s="10">
        <v>7.8540000000000001</v>
      </c>
      <c r="H414" t="s">
        <v>113</v>
      </c>
    </row>
    <row r="415" spans="1:8" x14ac:dyDescent="0.45">
      <c r="A415">
        <v>10653</v>
      </c>
      <c r="B415" t="s">
        <v>176</v>
      </c>
      <c r="C415" t="s">
        <v>862</v>
      </c>
      <c r="D415" s="14">
        <v>35675</v>
      </c>
      <c r="E415" s="14">
        <v>35692</v>
      </c>
      <c r="F415" t="s">
        <v>857</v>
      </c>
      <c r="G415" s="10">
        <v>102.575</v>
      </c>
      <c r="H415" t="s">
        <v>7</v>
      </c>
    </row>
    <row r="416" spans="1:8" x14ac:dyDescent="0.45">
      <c r="A416">
        <v>10654</v>
      </c>
      <c r="B416" t="s">
        <v>32</v>
      </c>
      <c r="C416" t="s">
        <v>854</v>
      </c>
      <c r="D416" s="14">
        <v>35675</v>
      </c>
      <c r="E416" s="14">
        <v>35684</v>
      </c>
      <c r="F416" t="s">
        <v>857</v>
      </c>
      <c r="G416" s="10">
        <v>60.786000000000001</v>
      </c>
      <c r="H416" t="s">
        <v>37</v>
      </c>
    </row>
    <row r="417" spans="1:8" x14ac:dyDescent="0.45">
      <c r="A417">
        <v>10655</v>
      </c>
      <c r="B417" t="s">
        <v>470</v>
      </c>
      <c r="C417" t="s">
        <v>862</v>
      </c>
      <c r="D417" s="14">
        <v>35676</v>
      </c>
      <c r="E417" s="14">
        <v>35684</v>
      </c>
      <c r="F417" t="s">
        <v>859</v>
      </c>
      <c r="G417" s="10">
        <v>4.851</v>
      </c>
      <c r="H417" t="s">
        <v>193</v>
      </c>
    </row>
    <row r="418" spans="1:8" x14ac:dyDescent="0.45">
      <c r="A418">
        <v>10656</v>
      </c>
      <c r="B418" t="s">
        <v>225</v>
      </c>
      <c r="C418" t="s">
        <v>856</v>
      </c>
      <c r="D418" s="14">
        <v>35677</v>
      </c>
      <c r="E418" s="14">
        <v>35683</v>
      </c>
      <c r="F418" t="s">
        <v>857</v>
      </c>
      <c r="G418" s="10">
        <v>62.865000000000002</v>
      </c>
      <c r="H418" t="s">
        <v>231</v>
      </c>
    </row>
    <row r="419" spans="1:8" x14ac:dyDescent="0.45">
      <c r="A419">
        <v>10657</v>
      </c>
      <c r="B419" t="s">
        <v>504</v>
      </c>
      <c r="C419" t="s">
        <v>864</v>
      </c>
      <c r="D419" s="14">
        <v>35677</v>
      </c>
      <c r="E419" s="14">
        <v>35688</v>
      </c>
      <c r="F419" t="s">
        <v>859</v>
      </c>
      <c r="G419" s="10">
        <v>387.959</v>
      </c>
      <c r="H419" t="s">
        <v>231</v>
      </c>
    </row>
    <row r="420" spans="1:8" x14ac:dyDescent="0.45">
      <c r="A420">
        <v>10658</v>
      </c>
      <c r="B420" t="s">
        <v>450</v>
      </c>
      <c r="C420" t="s">
        <v>858</v>
      </c>
      <c r="D420" s="14">
        <v>35678</v>
      </c>
      <c r="E420" s="14">
        <v>35681</v>
      </c>
      <c r="F420" t="s">
        <v>857</v>
      </c>
      <c r="G420" s="10">
        <v>400.565</v>
      </c>
      <c r="H420" t="s">
        <v>7</v>
      </c>
    </row>
    <row r="421" spans="1:8" x14ac:dyDescent="0.45">
      <c r="A421">
        <v>10659</v>
      </c>
      <c r="B421" t="s">
        <v>444</v>
      </c>
      <c r="C421" t="s">
        <v>865</v>
      </c>
      <c r="D421" s="14">
        <v>35678</v>
      </c>
      <c r="E421" s="14">
        <v>35683</v>
      </c>
      <c r="F421" t="s">
        <v>859</v>
      </c>
      <c r="G421" s="10">
        <v>116.39100000000001</v>
      </c>
      <c r="H421" t="s">
        <v>113</v>
      </c>
    </row>
    <row r="422" spans="1:8" x14ac:dyDescent="0.45">
      <c r="A422">
        <v>10660</v>
      </c>
      <c r="B422" t="s">
        <v>259</v>
      </c>
      <c r="C422" t="s">
        <v>863</v>
      </c>
      <c r="D422" s="14">
        <v>35681</v>
      </c>
      <c r="E422" s="14">
        <v>35718</v>
      </c>
      <c r="F422" t="s">
        <v>857</v>
      </c>
      <c r="G422" s="10">
        <v>122.419</v>
      </c>
      <c r="H422" t="s">
        <v>231</v>
      </c>
    </row>
    <row r="423" spans="1:8" x14ac:dyDescent="0.45">
      <c r="A423">
        <v>10661</v>
      </c>
      <c r="B423" t="s">
        <v>266</v>
      </c>
      <c r="C423" t="s">
        <v>865</v>
      </c>
      <c r="D423" s="14">
        <v>35682</v>
      </c>
      <c r="E423" s="14">
        <v>35688</v>
      </c>
      <c r="F423" t="s">
        <v>855</v>
      </c>
      <c r="G423" s="10">
        <v>19.305</v>
      </c>
      <c r="H423" t="s">
        <v>271</v>
      </c>
    </row>
    <row r="424" spans="1:8" x14ac:dyDescent="0.45">
      <c r="A424">
        <v>10662</v>
      </c>
      <c r="B424" t="s">
        <v>349</v>
      </c>
      <c r="C424" t="s">
        <v>860</v>
      </c>
      <c r="D424" s="14">
        <v>35682</v>
      </c>
      <c r="E424" s="14">
        <v>35691</v>
      </c>
      <c r="F424" t="s">
        <v>859</v>
      </c>
      <c r="G424" s="10">
        <v>1.4079999999999999</v>
      </c>
      <c r="H424" t="s">
        <v>231</v>
      </c>
    </row>
    <row r="425" spans="1:8" x14ac:dyDescent="0.45">
      <c r="A425">
        <v>10663</v>
      </c>
      <c r="B425" t="s">
        <v>63</v>
      </c>
      <c r="C425" t="s">
        <v>864</v>
      </c>
      <c r="D425" s="14">
        <v>35683</v>
      </c>
      <c r="E425" s="14">
        <v>35706</v>
      </c>
      <c r="F425" t="s">
        <v>859</v>
      </c>
      <c r="G425" s="10">
        <v>124.465</v>
      </c>
      <c r="H425" t="s">
        <v>52</v>
      </c>
    </row>
    <row r="426" spans="1:8" x14ac:dyDescent="0.45">
      <c r="A426">
        <v>10664</v>
      </c>
      <c r="B426" t="s">
        <v>196</v>
      </c>
      <c r="C426" t="s">
        <v>862</v>
      </c>
      <c r="D426" s="14">
        <v>35683</v>
      </c>
      <c r="E426" s="14">
        <v>35692</v>
      </c>
      <c r="F426" t="s">
        <v>855</v>
      </c>
      <c r="G426" s="10">
        <v>1.397</v>
      </c>
      <c r="H426" t="s">
        <v>201</v>
      </c>
    </row>
    <row r="427" spans="1:8" x14ac:dyDescent="0.45">
      <c r="A427">
        <v>10665</v>
      </c>
      <c r="B427" t="s">
        <v>349</v>
      </c>
      <c r="C427" t="s">
        <v>862</v>
      </c>
      <c r="D427" s="14">
        <v>35684</v>
      </c>
      <c r="E427" s="14">
        <v>35690</v>
      </c>
      <c r="F427" t="s">
        <v>859</v>
      </c>
      <c r="G427" s="10">
        <v>28.940999999999999</v>
      </c>
      <c r="H427" t="s">
        <v>231</v>
      </c>
    </row>
    <row r="428" spans="1:8" x14ac:dyDescent="0.45">
      <c r="A428">
        <v>10666</v>
      </c>
      <c r="B428" t="s">
        <v>483</v>
      </c>
      <c r="C428" t="s">
        <v>865</v>
      </c>
      <c r="D428" s="14">
        <v>35685</v>
      </c>
      <c r="E428" s="14">
        <v>35695</v>
      </c>
      <c r="F428" t="s">
        <v>859</v>
      </c>
      <c r="G428" s="10">
        <v>255.66200000000001</v>
      </c>
      <c r="H428" t="s">
        <v>104</v>
      </c>
    </row>
    <row r="429" spans="1:8" x14ac:dyDescent="0.45">
      <c r="A429">
        <v>10667</v>
      </c>
      <c r="B429" t="s">
        <v>142</v>
      </c>
      <c r="C429" t="s">
        <v>865</v>
      </c>
      <c r="D429" s="14">
        <v>35685</v>
      </c>
      <c r="E429" s="14">
        <v>35692</v>
      </c>
      <c r="F429" t="s">
        <v>857</v>
      </c>
      <c r="G429" s="10">
        <v>85.899000000000001</v>
      </c>
      <c r="H429" t="s">
        <v>147</v>
      </c>
    </row>
    <row r="430" spans="1:8" x14ac:dyDescent="0.45">
      <c r="A430">
        <v>10668</v>
      </c>
      <c r="B430" t="s">
        <v>607</v>
      </c>
      <c r="C430" t="s">
        <v>862</v>
      </c>
      <c r="D430" s="14">
        <v>35688</v>
      </c>
      <c r="E430" s="14">
        <v>35696</v>
      </c>
      <c r="F430" t="s">
        <v>859</v>
      </c>
      <c r="G430" s="10">
        <v>51.942</v>
      </c>
      <c r="H430" t="s">
        <v>7</v>
      </c>
    </row>
    <row r="431" spans="1:8" x14ac:dyDescent="0.45">
      <c r="A431">
        <v>10669</v>
      </c>
      <c r="B431" t="s">
        <v>518</v>
      </c>
      <c r="C431" t="s">
        <v>864</v>
      </c>
      <c r="D431" s="14">
        <v>35688</v>
      </c>
      <c r="E431" s="14">
        <v>35695</v>
      </c>
      <c r="F431" t="s">
        <v>857</v>
      </c>
      <c r="G431" s="10">
        <v>26.829000000000001</v>
      </c>
      <c r="H431" t="s">
        <v>523</v>
      </c>
    </row>
    <row r="432" spans="1:8" x14ac:dyDescent="0.45">
      <c r="A432">
        <v>10670</v>
      </c>
      <c r="B432" t="s">
        <v>176</v>
      </c>
      <c r="C432" t="s">
        <v>858</v>
      </c>
      <c r="D432" s="14">
        <v>35689</v>
      </c>
      <c r="E432" s="14">
        <v>35691</v>
      </c>
      <c r="F432" t="s">
        <v>857</v>
      </c>
      <c r="G432" s="10">
        <v>223.828</v>
      </c>
      <c r="H432" t="s">
        <v>7</v>
      </c>
    </row>
    <row r="433" spans="1:8" x14ac:dyDescent="0.45">
      <c r="A433">
        <v>10671</v>
      </c>
      <c r="B433" t="s">
        <v>183</v>
      </c>
      <c r="C433" t="s">
        <v>862</v>
      </c>
      <c r="D433" s="14">
        <v>35690</v>
      </c>
      <c r="E433" s="14">
        <v>35697</v>
      </c>
      <c r="F433" t="s">
        <v>857</v>
      </c>
      <c r="G433" s="10">
        <v>33.374000000000002</v>
      </c>
      <c r="H433" t="s">
        <v>52</v>
      </c>
    </row>
    <row r="434" spans="1:8" x14ac:dyDescent="0.45">
      <c r="A434">
        <v>10672</v>
      </c>
      <c r="B434" t="s">
        <v>32</v>
      </c>
      <c r="C434" t="s">
        <v>861</v>
      </c>
      <c r="D434" s="14">
        <v>35690</v>
      </c>
      <c r="E434" s="14">
        <v>35699</v>
      </c>
      <c r="F434" t="s">
        <v>859</v>
      </c>
      <c r="G434" s="10">
        <v>105.325</v>
      </c>
      <c r="H434" t="s">
        <v>37</v>
      </c>
    </row>
    <row r="435" spans="1:8" x14ac:dyDescent="0.45">
      <c r="A435">
        <v>10673</v>
      </c>
      <c r="B435" t="s">
        <v>636</v>
      </c>
      <c r="C435" t="s">
        <v>864</v>
      </c>
      <c r="D435" s="14">
        <v>35691</v>
      </c>
      <c r="E435" s="14">
        <v>35692</v>
      </c>
      <c r="F435" t="s">
        <v>857</v>
      </c>
      <c r="G435" s="10">
        <v>25.036000000000001</v>
      </c>
      <c r="H435" t="s">
        <v>619</v>
      </c>
    </row>
    <row r="436" spans="1:8" x14ac:dyDescent="0.45">
      <c r="A436">
        <v>10674</v>
      </c>
      <c r="B436" t="s">
        <v>274</v>
      </c>
      <c r="C436" t="s">
        <v>858</v>
      </c>
      <c r="D436" s="14">
        <v>35691</v>
      </c>
      <c r="E436" s="14">
        <v>35703</v>
      </c>
      <c r="F436" t="s">
        <v>859</v>
      </c>
      <c r="G436" s="10">
        <v>0.99</v>
      </c>
      <c r="H436" t="s">
        <v>29</v>
      </c>
    </row>
    <row r="437" spans="1:8" x14ac:dyDescent="0.45">
      <c r="A437">
        <v>10675</v>
      </c>
      <c r="B437" t="s">
        <v>176</v>
      </c>
      <c r="C437" t="s">
        <v>854</v>
      </c>
      <c r="D437" s="14">
        <v>35692</v>
      </c>
      <c r="E437" s="14">
        <v>35696</v>
      </c>
      <c r="F437" t="s">
        <v>859</v>
      </c>
      <c r="G437" s="10">
        <v>35.034999999999997</v>
      </c>
      <c r="H437" t="s">
        <v>7</v>
      </c>
    </row>
    <row r="438" spans="1:8" x14ac:dyDescent="0.45">
      <c r="A438">
        <v>10676</v>
      </c>
      <c r="B438" t="s">
        <v>568</v>
      </c>
      <c r="C438" t="s">
        <v>864</v>
      </c>
      <c r="D438" s="14">
        <v>35695</v>
      </c>
      <c r="E438" s="14">
        <v>35702</v>
      </c>
      <c r="F438" t="s">
        <v>859</v>
      </c>
      <c r="G438" s="10">
        <v>2.2109999999999999</v>
      </c>
      <c r="H438" t="s">
        <v>15</v>
      </c>
    </row>
    <row r="439" spans="1:8" x14ac:dyDescent="0.45">
      <c r="A439">
        <v>10677</v>
      </c>
      <c r="B439" t="s">
        <v>18</v>
      </c>
      <c r="C439" t="s">
        <v>862</v>
      </c>
      <c r="D439" s="14">
        <v>35695</v>
      </c>
      <c r="E439" s="14">
        <v>35699</v>
      </c>
      <c r="F439" t="s">
        <v>855</v>
      </c>
      <c r="G439" s="10">
        <v>4.4329999999999998</v>
      </c>
      <c r="H439" t="s">
        <v>15</v>
      </c>
    </row>
    <row r="440" spans="1:8" x14ac:dyDescent="0.45">
      <c r="A440">
        <v>10678</v>
      </c>
      <c r="B440" t="s">
        <v>504</v>
      </c>
      <c r="C440" t="s">
        <v>865</v>
      </c>
      <c r="D440" s="14">
        <v>35696</v>
      </c>
      <c r="E440" s="14">
        <v>35719</v>
      </c>
      <c r="F440" t="s">
        <v>855</v>
      </c>
      <c r="G440" s="10">
        <v>427.87799999999999</v>
      </c>
      <c r="H440" t="s">
        <v>231</v>
      </c>
    </row>
    <row r="441" spans="1:8" x14ac:dyDescent="0.45">
      <c r="A441">
        <v>10679</v>
      </c>
      <c r="B441" t="s">
        <v>47</v>
      </c>
      <c r="C441" t="s">
        <v>863</v>
      </c>
      <c r="D441" s="14">
        <v>35696</v>
      </c>
      <c r="E441" s="14">
        <v>35703</v>
      </c>
      <c r="F441" t="s">
        <v>855</v>
      </c>
      <c r="G441" s="10">
        <v>30.734000000000002</v>
      </c>
      <c r="H441" t="s">
        <v>52</v>
      </c>
    </row>
    <row r="442" spans="1:8" x14ac:dyDescent="0.45">
      <c r="A442">
        <v>10680</v>
      </c>
      <c r="B442" t="s">
        <v>397</v>
      </c>
      <c r="C442" t="s">
        <v>862</v>
      </c>
      <c r="D442" s="14">
        <v>35697</v>
      </c>
      <c r="E442" s="14">
        <v>35699</v>
      </c>
      <c r="F442" t="s">
        <v>857</v>
      </c>
      <c r="G442" s="10">
        <v>29.271000000000001</v>
      </c>
      <c r="H442" t="s">
        <v>231</v>
      </c>
    </row>
    <row r="443" spans="1:8" x14ac:dyDescent="0.45">
      <c r="A443">
        <v>10681</v>
      </c>
      <c r="B443" t="s">
        <v>225</v>
      </c>
      <c r="C443" t="s">
        <v>860</v>
      </c>
      <c r="D443" s="14">
        <v>35698</v>
      </c>
      <c r="E443" s="14">
        <v>35703</v>
      </c>
      <c r="F443" t="s">
        <v>855</v>
      </c>
      <c r="G443" s="10">
        <v>83.742999999999995</v>
      </c>
      <c r="H443" t="s">
        <v>231</v>
      </c>
    </row>
    <row r="444" spans="1:8" x14ac:dyDescent="0.45">
      <c r="A444">
        <v>10682</v>
      </c>
      <c r="B444" t="s">
        <v>18</v>
      </c>
      <c r="C444" t="s">
        <v>860</v>
      </c>
      <c r="D444" s="14">
        <v>35698</v>
      </c>
      <c r="E444" s="14">
        <v>35704</v>
      </c>
      <c r="F444" t="s">
        <v>859</v>
      </c>
      <c r="G444" s="10">
        <v>39.743000000000002</v>
      </c>
      <c r="H444" t="s">
        <v>15</v>
      </c>
    </row>
    <row r="445" spans="1:8" x14ac:dyDescent="0.45">
      <c r="A445">
        <v>10683</v>
      </c>
      <c r="B445" t="s">
        <v>129</v>
      </c>
      <c r="C445" t="s">
        <v>864</v>
      </c>
      <c r="D445" s="14">
        <v>35699</v>
      </c>
      <c r="E445" s="14">
        <v>35704</v>
      </c>
      <c r="F445" t="s">
        <v>857</v>
      </c>
      <c r="G445" s="10">
        <v>4.84</v>
      </c>
      <c r="H445" t="s">
        <v>52</v>
      </c>
    </row>
    <row r="446" spans="1:8" x14ac:dyDescent="0.45">
      <c r="A446">
        <v>10684</v>
      </c>
      <c r="B446" t="s">
        <v>405</v>
      </c>
      <c r="C446" t="s">
        <v>860</v>
      </c>
      <c r="D446" s="14">
        <v>35699</v>
      </c>
      <c r="E446" s="14">
        <v>35703</v>
      </c>
      <c r="F446" t="s">
        <v>857</v>
      </c>
      <c r="G446" s="10">
        <v>160.19300000000001</v>
      </c>
      <c r="H446" t="s">
        <v>7</v>
      </c>
    </row>
    <row r="447" spans="1:8" x14ac:dyDescent="0.45">
      <c r="A447">
        <v>10685</v>
      </c>
      <c r="B447" t="s">
        <v>218</v>
      </c>
      <c r="C447" t="s">
        <v>858</v>
      </c>
      <c r="D447" s="14">
        <v>35702</v>
      </c>
      <c r="E447" s="14">
        <v>35706</v>
      </c>
      <c r="F447" t="s">
        <v>859</v>
      </c>
      <c r="G447" s="10">
        <v>37.125</v>
      </c>
      <c r="H447" t="s">
        <v>113</v>
      </c>
    </row>
    <row r="448" spans="1:8" x14ac:dyDescent="0.45">
      <c r="A448">
        <v>10686</v>
      </c>
      <c r="B448" t="s">
        <v>425</v>
      </c>
      <c r="C448" t="s">
        <v>864</v>
      </c>
      <c r="D448" s="14">
        <v>35703</v>
      </c>
      <c r="E448" s="14">
        <v>35711</v>
      </c>
      <c r="F448" t="s">
        <v>857</v>
      </c>
      <c r="G448" s="10">
        <v>106.15</v>
      </c>
      <c r="H448" t="s">
        <v>147</v>
      </c>
    </row>
    <row r="449" spans="1:8" x14ac:dyDescent="0.45">
      <c r="A449">
        <v>10687</v>
      </c>
      <c r="B449" t="s">
        <v>266</v>
      </c>
      <c r="C449" t="s">
        <v>861</v>
      </c>
      <c r="D449" s="14">
        <v>35703</v>
      </c>
      <c r="E449" s="14">
        <v>35733</v>
      </c>
      <c r="F449" t="s">
        <v>859</v>
      </c>
      <c r="G449" s="10">
        <v>326.07299999999998</v>
      </c>
      <c r="H449" t="s">
        <v>271</v>
      </c>
    </row>
    <row r="450" spans="1:8" x14ac:dyDescent="0.45">
      <c r="A450">
        <v>10688</v>
      </c>
      <c r="B450" t="s">
        <v>586</v>
      </c>
      <c r="C450" t="s">
        <v>858</v>
      </c>
      <c r="D450" s="14">
        <v>35704</v>
      </c>
      <c r="E450" s="14">
        <v>35710</v>
      </c>
      <c r="F450" t="s">
        <v>859</v>
      </c>
      <c r="G450" s="10">
        <v>328.99900000000002</v>
      </c>
      <c r="H450" t="s">
        <v>523</v>
      </c>
    </row>
    <row r="451" spans="1:8" x14ac:dyDescent="0.45">
      <c r="A451">
        <v>10689</v>
      </c>
      <c r="B451" t="s">
        <v>32</v>
      </c>
      <c r="C451" t="s">
        <v>862</v>
      </c>
      <c r="D451" s="14">
        <v>35704</v>
      </c>
      <c r="E451" s="14">
        <v>35710</v>
      </c>
      <c r="F451" t="s">
        <v>859</v>
      </c>
      <c r="G451" s="10">
        <v>14.762</v>
      </c>
      <c r="H451" t="s">
        <v>37</v>
      </c>
    </row>
    <row r="452" spans="1:8" x14ac:dyDescent="0.45">
      <c r="A452">
        <v>10690</v>
      </c>
      <c r="B452" t="s">
        <v>243</v>
      </c>
      <c r="C452" t="s">
        <v>862</v>
      </c>
      <c r="D452" s="14">
        <v>35705</v>
      </c>
      <c r="E452" s="14">
        <v>35706</v>
      </c>
      <c r="F452" t="s">
        <v>857</v>
      </c>
      <c r="G452" s="10">
        <v>17.38</v>
      </c>
      <c r="H452" t="s">
        <v>113</v>
      </c>
    </row>
    <row r="453" spans="1:8" x14ac:dyDescent="0.45">
      <c r="A453">
        <v>10691</v>
      </c>
      <c r="B453" t="s">
        <v>450</v>
      </c>
      <c r="C453" t="s">
        <v>864</v>
      </c>
      <c r="D453" s="14">
        <v>35706</v>
      </c>
      <c r="E453" s="14">
        <v>35725</v>
      </c>
      <c r="F453" t="s">
        <v>859</v>
      </c>
      <c r="G453" s="10">
        <v>891.05499999999995</v>
      </c>
      <c r="H453" t="s">
        <v>7</v>
      </c>
    </row>
    <row r="454" spans="1:8" x14ac:dyDescent="0.45">
      <c r="A454">
        <v>10692</v>
      </c>
      <c r="B454" t="s">
        <v>1</v>
      </c>
      <c r="C454" t="s">
        <v>858</v>
      </c>
      <c r="D454" s="14">
        <v>35706</v>
      </c>
      <c r="E454" s="14">
        <v>35716</v>
      </c>
      <c r="F454" t="s">
        <v>859</v>
      </c>
      <c r="G454" s="10">
        <v>67.122</v>
      </c>
      <c r="H454" t="s">
        <v>7</v>
      </c>
    </row>
    <row r="455" spans="1:8" x14ac:dyDescent="0.45">
      <c r="A455">
        <v>10693</v>
      </c>
      <c r="B455" t="s">
        <v>629</v>
      </c>
      <c r="C455" t="s">
        <v>860</v>
      </c>
      <c r="D455" s="14">
        <v>35709</v>
      </c>
      <c r="E455" s="14">
        <v>35713</v>
      </c>
      <c r="F455" t="s">
        <v>855</v>
      </c>
      <c r="G455" s="10">
        <v>153.274</v>
      </c>
      <c r="H455" t="s">
        <v>231</v>
      </c>
    </row>
    <row r="456" spans="1:8" x14ac:dyDescent="0.45">
      <c r="A456">
        <v>10694</v>
      </c>
      <c r="B456" t="s">
        <v>450</v>
      </c>
      <c r="C456" t="s">
        <v>863</v>
      </c>
      <c r="D456" s="14">
        <v>35709</v>
      </c>
      <c r="E456" s="14">
        <v>35712</v>
      </c>
      <c r="F456" t="s">
        <v>855</v>
      </c>
      <c r="G456" s="10">
        <v>438.19600000000003</v>
      </c>
      <c r="H456" t="s">
        <v>7</v>
      </c>
    </row>
    <row r="457" spans="1:8" x14ac:dyDescent="0.45">
      <c r="A457">
        <v>10695</v>
      </c>
      <c r="B457" t="s">
        <v>636</v>
      </c>
      <c r="C457" t="s">
        <v>865</v>
      </c>
      <c r="D457" s="14">
        <v>35710</v>
      </c>
      <c r="E457" s="14">
        <v>35717</v>
      </c>
      <c r="F457" t="s">
        <v>857</v>
      </c>
      <c r="G457" s="10">
        <v>18.391999999999999</v>
      </c>
      <c r="H457" t="s">
        <v>619</v>
      </c>
    </row>
    <row r="458" spans="1:8" x14ac:dyDescent="0.45">
      <c r="A458">
        <v>10696</v>
      </c>
      <c r="B458" t="s">
        <v>629</v>
      </c>
      <c r="C458" t="s">
        <v>863</v>
      </c>
      <c r="D458" s="14">
        <v>35711</v>
      </c>
      <c r="E458" s="14">
        <v>35717</v>
      </c>
      <c r="F458" t="s">
        <v>855</v>
      </c>
      <c r="G458" s="10">
        <v>112.80500000000001</v>
      </c>
      <c r="H458" t="s">
        <v>231</v>
      </c>
    </row>
    <row r="459" spans="1:8" x14ac:dyDescent="0.45">
      <c r="A459">
        <v>10697</v>
      </c>
      <c r="B459" t="s">
        <v>341</v>
      </c>
      <c r="C459" t="s">
        <v>860</v>
      </c>
      <c r="D459" s="14">
        <v>35711</v>
      </c>
      <c r="E459" s="14">
        <v>35717</v>
      </c>
      <c r="F459" t="s">
        <v>857</v>
      </c>
      <c r="G459" s="10">
        <v>50.072000000000003</v>
      </c>
      <c r="H459" t="s">
        <v>240</v>
      </c>
    </row>
    <row r="460" spans="1:8" x14ac:dyDescent="0.45">
      <c r="A460">
        <v>10698</v>
      </c>
      <c r="B460" t="s">
        <v>142</v>
      </c>
      <c r="C460" t="s">
        <v>858</v>
      </c>
      <c r="D460" s="14">
        <v>35712</v>
      </c>
      <c r="E460" s="14">
        <v>35720</v>
      </c>
      <c r="F460" t="s">
        <v>857</v>
      </c>
      <c r="G460" s="10">
        <v>299.71699999999998</v>
      </c>
      <c r="H460" t="s">
        <v>147</v>
      </c>
    </row>
    <row r="461" spans="1:8" x14ac:dyDescent="0.45">
      <c r="A461">
        <v>10699</v>
      </c>
      <c r="B461" t="s">
        <v>379</v>
      </c>
      <c r="C461" t="s">
        <v>860</v>
      </c>
      <c r="D461" s="14">
        <v>35712</v>
      </c>
      <c r="E461" s="14">
        <v>35716</v>
      </c>
      <c r="F461" t="s">
        <v>855</v>
      </c>
      <c r="G461" s="10">
        <v>0.63800000000000001</v>
      </c>
      <c r="H461" t="s">
        <v>7</v>
      </c>
    </row>
    <row r="462" spans="1:8" x14ac:dyDescent="0.45">
      <c r="A462">
        <v>10700</v>
      </c>
      <c r="B462" t="s">
        <v>504</v>
      </c>
      <c r="C462" t="s">
        <v>860</v>
      </c>
      <c r="D462" s="14">
        <v>35713</v>
      </c>
      <c r="E462" s="14">
        <v>35719</v>
      </c>
      <c r="F462" t="s">
        <v>857</v>
      </c>
      <c r="G462" s="10">
        <v>71.61</v>
      </c>
      <c r="H462" t="s">
        <v>231</v>
      </c>
    </row>
    <row r="463" spans="1:8" x14ac:dyDescent="0.45">
      <c r="A463">
        <v>10701</v>
      </c>
      <c r="B463" t="s">
        <v>266</v>
      </c>
      <c r="C463" t="s">
        <v>856</v>
      </c>
      <c r="D463" s="14">
        <v>35716</v>
      </c>
      <c r="E463" s="14">
        <v>35718</v>
      </c>
      <c r="F463" t="s">
        <v>855</v>
      </c>
      <c r="G463" s="10">
        <v>242.34100000000001</v>
      </c>
      <c r="H463" t="s">
        <v>271</v>
      </c>
    </row>
    <row r="464" spans="1:8" x14ac:dyDescent="0.45">
      <c r="A464">
        <v>10702</v>
      </c>
      <c r="B464" t="s">
        <v>1</v>
      </c>
      <c r="C464" t="s">
        <v>858</v>
      </c>
      <c r="D464" s="14">
        <v>35716</v>
      </c>
      <c r="E464" s="14">
        <v>35724</v>
      </c>
      <c r="F464" t="s">
        <v>857</v>
      </c>
      <c r="G464" s="10">
        <v>26.334</v>
      </c>
      <c r="H464" t="s">
        <v>7</v>
      </c>
    </row>
    <row r="465" spans="1:8" x14ac:dyDescent="0.45">
      <c r="A465">
        <v>10703</v>
      </c>
      <c r="B465" t="s">
        <v>169</v>
      </c>
      <c r="C465" t="s">
        <v>856</v>
      </c>
      <c r="D465" s="14">
        <v>35717</v>
      </c>
      <c r="E465" s="14">
        <v>35723</v>
      </c>
      <c r="F465" t="s">
        <v>859</v>
      </c>
      <c r="G465" s="10">
        <v>167.53</v>
      </c>
      <c r="H465" t="s">
        <v>37</v>
      </c>
    </row>
    <row r="466" spans="1:8" x14ac:dyDescent="0.45">
      <c r="A466">
        <v>10704</v>
      </c>
      <c r="B466" t="s">
        <v>444</v>
      </c>
      <c r="C466" t="s">
        <v>856</v>
      </c>
      <c r="D466" s="14">
        <v>35717</v>
      </c>
      <c r="E466" s="14">
        <v>35741</v>
      </c>
      <c r="F466" t="s">
        <v>857</v>
      </c>
      <c r="G466" s="10">
        <v>5.258</v>
      </c>
      <c r="H466" t="s">
        <v>113</v>
      </c>
    </row>
    <row r="467" spans="1:8" x14ac:dyDescent="0.45">
      <c r="A467">
        <v>10705</v>
      </c>
      <c r="B467" t="s">
        <v>251</v>
      </c>
      <c r="C467" t="s">
        <v>861</v>
      </c>
      <c r="D467" s="14">
        <v>35718</v>
      </c>
      <c r="E467" s="14">
        <v>35752</v>
      </c>
      <c r="F467" t="s">
        <v>859</v>
      </c>
      <c r="G467" s="10">
        <v>3.8719999999999999</v>
      </c>
      <c r="H467" t="s">
        <v>240</v>
      </c>
    </row>
    <row r="468" spans="1:8" x14ac:dyDescent="0.45">
      <c r="A468">
        <v>10706</v>
      </c>
      <c r="B468" t="s">
        <v>397</v>
      </c>
      <c r="C468" t="s">
        <v>863</v>
      </c>
      <c r="D468" s="14">
        <v>35719</v>
      </c>
      <c r="E468" s="14">
        <v>35724</v>
      </c>
      <c r="F468" t="s">
        <v>855</v>
      </c>
      <c r="G468" s="10">
        <v>149.19300000000001</v>
      </c>
      <c r="H468" t="s">
        <v>231</v>
      </c>
    </row>
    <row r="469" spans="1:8" x14ac:dyDescent="0.45">
      <c r="A469">
        <v>10707</v>
      </c>
      <c r="B469" t="s">
        <v>24</v>
      </c>
      <c r="C469" t="s">
        <v>858</v>
      </c>
      <c r="D469" s="14">
        <v>35719</v>
      </c>
      <c r="E469" s="14">
        <v>35726</v>
      </c>
      <c r="F469" t="s">
        <v>855</v>
      </c>
      <c r="G469" s="10">
        <v>23.914000000000001</v>
      </c>
      <c r="H469" t="s">
        <v>29</v>
      </c>
    </row>
    <row r="470" spans="1:8" x14ac:dyDescent="0.45">
      <c r="A470">
        <v>10708</v>
      </c>
      <c r="B470" t="s">
        <v>547</v>
      </c>
      <c r="C470" t="s">
        <v>856</v>
      </c>
      <c r="D470" s="14">
        <v>35720</v>
      </c>
      <c r="E470" s="14">
        <v>35739</v>
      </c>
      <c r="F470" t="s">
        <v>859</v>
      </c>
      <c r="G470" s="10">
        <v>3.2559999999999998</v>
      </c>
      <c r="H470" t="s">
        <v>231</v>
      </c>
    </row>
    <row r="471" spans="1:8" x14ac:dyDescent="0.45">
      <c r="A471">
        <v>10709</v>
      </c>
      <c r="B471" t="s">
        <v>218</v>
      </c>
      <c r="C471" t="s">
        <v>862</v>
      </c>
      <c r="D471" s="14">
        <v>35720</v>
      </c>
      <c r="E471" s="14">
        <v>35754</v>
      </c>
      <c r="F471" t="s">
        <v>855</v>
      </c>
      <c r="G471" s="10">
        <v>231.88</v>
      </c>
      <c r="H471" t="s">
        <v>113</v>
      </c>
    </row>
    <row r="472" spans="1:8" x14ac:dyDescent="0.45">
      <c r="A472">
        <v>10710</v>
      </c>
      <c r="B472" t="s">
        <v>188</v>
      </c>
      <c r="C472" t="s">
        <v>862</v>
      </c>
      <c r="D472" s="14">
        <v>35723</v>
      </c>
      <c r="E472" s="14">
        <v>35726</v>
      </c>
      <c r="F472" t="s">
        <v>857</v>
      </c>
      <c r="G472" s="10">
        <v>5.4779999999999998</v>
      </c>
      <c r="H472" t="s">
        <v>193</v>
      </c>
    </row>
    <row r="473" spans="1:8" x14ac:dyDescent="0.45">
      <c r="A473">
        <v>10711</v>
      </c>
      <c r="B473" t="s">
        <v>504</v>
      </c>
      <c r="C473" t="s">
        <v>854</v>
      </c>
      <c r="D473" s="14">
        <v>35724</v>
      </c>
      <c r="E473" s="14">
        <v>35732</v>
      </c>
      <c r="F473" t="s">
        <v>859</v>
      </c>
      <c r="G473" s="10">
        <v>57.651000000000003</v>
      </c>
      <c r="H473" t="s">
        <v>231</v>
      </c>
    </row>
    <row r="474" spans="1:8" x14ac:dyDescent="0.45">
      <c r="A474">
        <v>10712</v>
      </c>
      <c r="B474" t="s">
        <v>266</v>
      </c>
      <c r="C474" t="s">
        <v>860</v>
      </c>
      <c r="D474" s="14">
        <v>35724</v>
      </c>
      <c r="E474" s="14">
        <v>35734</v>
      </c>
      <c r="F474" t="s">
        <v>857</v>
      </c>
      <c r="G474" s="10">
        <v>98.923000000000002</v>
      </c>
      <c r="H474" t="s">
        <v>271</v>
      </c>
    </row>
    <row r="475" spans="1:8" x14ac:dyDescent="0.45">
      <c r="A475">
        <v>10713</v>
      </c>
      <c r="B475" t="s">
        <v>504</v>
      </c>
      <c r="C475" t="s">
        <v>862</v>
      </c>
      <c r="D475" s="14">
        <v>35725</v>
      </c>
      <c r="E475" s="14">
        <v>35727</v>
      </c>
      <c r="F475" t="s">
        <v>857</v>
      </c>
      <c r="G475" s="10">
        <v>183.755</v>
      </c>
      <c r="H475" t="s">
        <v>231</v>
      </c>
    </row>
    <row r="476" spans="1:8" x14ac:dyDescent="0.45">
      <c r="A476">
        <v>10714</v>
      </c>
      <c r="B476" t="s">
        <v>504</v>
      </c>
      <c r="C476" t="s">
        <v>854</v>
      </c>
      <c r="D476" s="14">
        <v>35725</v>
      </c>
      <c r="E476" s="14">
        <v>35730</v>
      </c>
      <c r="F476" t="s">
        <v>855</v>
      </c>
      <c r="G476" s="10">
        <v>26.939</v>
      </c>
      <c r="H476" t="s">
        <v>231</v>
      </c>
    </row>
    <row r="477" spans="1:8" x14ac:dyDescent="0.45">
      <c r="A477">
        <v>10715</v>
      </c>
      <c r="B477" t="s">
        <v>63</v>
      </c>
      <c r="C477" t="s">
        <v>860</v>
      </c>
      <c r="D477" s="14">
        <v>35726</v>
      </c>
      <c r="E477" s="14">
        <v>35732</v>
      </c>
      <c r="F477" t="s">
        <v>857</v>
      </c>
      <c r="G477" s="10">
        <v>69.52</v>
      </c>
      <c r="H477" t="s">
        <v>52</v>
      </c>
    </row>
    <row r="478" spans="1:8" x14ac:dyDescent="0.45">
      <c r="A478">
        <v>10716</v>
      </c>
      <c r="B478" t="s">
        <v>457</v>
      </c>
      <c r="C478" t="s">
        <v>858</v>
      </c>
      <c r="D478" s="14">
        <v>35727</v>
      </c>
      <c r="E478" s="14">
        <v>35730</v>
      </c>
      <c r="F478" t="s">
        <v>859</v>
      </c>
      <c r="G478" s="10">
        <v>24.827000000000002</v>
      </c>
      <c r="H478" t="s">
        <v>90</v>
      </c>
    </row>
    <row r="479" spans="1:8" x14ac:dyDescent="0.45">
      <c r="A479">
        <v>10717</v>
      </c>
      <c r="B479" t="s">
        <v>176</v>
      </c>
      <c r="C479" t="s">
        <v>862</v>
      </c>
      <c r="D479" s="14">
        <v>35727</v>
      </c>
      <c r="E479" s="14">
        <v>35732</v>
      </c>
      <c r="F479" t="s">
        <v>859</v>
      </c>
      <c r="G479" s="10">
        <v>65.174999999999997</v>
      </c>
      <c r="H479" t="s">
        <v>7</v>
      </c>
    </row>
    <row r="480" spans="1:8" x14ac:dyDescent="0.45">
      <c r="A480">
        <v>10718</v>
      </c>
      <c r="B480" t="s">
        <v>282</v>
      </c>
      <c r="C480" t="s">
        <v>862</v>
      </c>
      <c r="D480" s="14">
        <v>35730</v>
      </c>
      <c r="E480" s="14">
        <v>35732</v>
      </c>
      <c r="F480" t="s">
        <v>855</v>
      </c>
      <c r="G480" s="10">
        <v>187.96799999999999</v>
      </c>
      <c r="H480" t="s">
        <v>7</v>
      </c>
    </row>
    <row r="481" spans="1:8" x14ac:dyDescent="0.45">
      <c r="A481">
        <v>10719</v>
      </c>
      <c r="B481" t="s">
        <v>325</v>
      </c>
      <c r="C481" t="s">
        <v>863</v>
      </c>
      <c r="D481" s="14">
        <v>35730</v>
      </c>
      <c r="E481" s="14">
        <v>35739</v>
      </c>
      <c r="F481" t="s">
        <v>859</v>
      </c>
      <c r="G481" s="10">
        <v>56.584000000000003</v>
      </c>
      <c r="H481" t="s">
        <v>231</v>
      </c>
    </row>
    <row r="482" spans="1:8" x14ac:dyDescent="0.45">
      <c r="A482">
        <v>10720</v>
      </c>
      <c r="B482" t="s">
        <v>438</v>
      </c>
      <c r="C482" t="s">
        <v>863</v>
      </c>
      <c r="D482" s="14">
        <v>35731</v>
      </c>
      <c r="E482" s="14">
        <v>35739</v>
      </c>
      <c r="F482" t="s">
        <v>859</v>
      </c>
      <c r="G482" s="10">
        <v>10.483000000000001</v>
      </c>
      <c r="H482" t="s">
        <v>113</v>
      </c>
    </row>
    <row r="483" spans="1:8" x14ac:dyDescent="0.45">
      <c r="A483">
        <v>10721</v>
      </c>
      <c r="B483" t="s">
        <v>450</v>
      </c>
      <c r="C483" t="s">
        <v>854</v>
      </c>
      <c r="D483" s="14">
        <v>35732</v>
      </c>
      <c r="E483" s="14">
        <v>35734</v>
      </c>
      <c r="F483" t="s">
        <v>855</v>
      </c>
      <c r="G483" s="10">
        <v>53.811999999999998</v>
      </c>
      <c r="H483" t="s">
        <v>7</v>
      </c>
    </row>
    <row r="484" spans="1:8" x14ac:dyDescent="0.45">
      <c r="A484">
        <v>10722</v>
      </c>
      <c r="B484" t="s">
        <v>504</v>
      </c>
      <c r="C484" t="s">
        <v>863</v>
      </c>
      <c r="D484" s="14">
        <v>35732</v>
      </c>
      <c r="E484" s="14">
        <v>35738</v>
      </c>
      <c r="F484" t="s">
        <v>857</v>
      </c>
      <c r="G484" s="10">
        <v>82.037999999999997</v>
      </c>
      <c r="H484" t="s">
        <v>231</v>
      </c>
    </row>
    <row r="485" spans="1:8" x14ac:dyDescent="0.45">
      <c r="A485">
        <v>10723</v>
      </c>
      <c r="B485" t="s">
        <v>629</v>
      </c>
      <c r="C485" t="s">
        <v>860</v>
      </c>
      <c r="D485" s="14">
        <v>35733</v>
      </c>
      <c r="E485" s="14">
        <v>35759</v>
      </c>
      <c r="F485" t="s">
        <v>857</v>
      </c>
      <c r="G485" s="10">
        <v>23.891999999999999</v>
      </c>
      <c r="H485" t="s">
        <v>231</v>
      </c>
    </row>
    <row r="486" spans="1:8" x14ac:dyDescent="0.45">
      <c r="A486">
        <v>10724</v>
      </c>
      <c r="B486" t="s">
        <v>371</v>
      </c>
      <c r="C486" t="s">
        <v>863</v>
      </c>
      <c r="D486" s="14">
        <v>35733</v>
      </c>
      <c r="E486" s="14">
        <v>35739</v>
      </c>
      <c r="F486" t="s">
        <v>859</v>
      </c>
      <c r="G486" s="10">
        <v>63.524999999999999</v>
      </c>
      <c r="H486" t="s">
        <v>76</v>
      </c>
    </row>
    <row r="487" spans="1:8" x14ac:dyDescent="0.45">
      <c r="A487">
        <v>10725</v>
      </c>
      <c r="B487" t="s">
        <v>150</v>
      </c>
      <c r="C487" t="s">
        <v>858</v>
      </c>
      <c r="D487" s="14">
        <v>35734</v>
      </c>
      <c r="E487" s="14">
        <v>35739</v>
      </c>
      <c r="F487" t="s">
        <v>855</v>
      </c>
      <c r="G487" s="10">
        <v>11.913</v>
      </c>
      <c r="H487" t="s">
        <v>113</v>
      </c>
    </row>
    <row r="488" spans="1:8" x14ac:dyDescent="0.45">
      <c r="A488">
        <v>10726</v>
      </c>
      <c r="B488" t="s">
        <v>136</v>
      </c>
      <c r="C488" t="s">
        <v>858</v>
      </c>
      <c r="D488" s="14">
        <v>35737</v>
      </c>
      <c r="E488" s="14">
        <v>35769</v>
      </c>
      <c r="F488" t="s">
        <v>857</v>
      </c>
      <c r="G488" s="10">
        <v>18.216000000000001</v>
      </c>
      <c r="H488" t="s">
        <v>29</v>
      </c>
    </row>
    <row r="489" spans="1:8" x14ac:dyDescent="0.45">
      <c r="A489">
        <v>10727</v>
      </c>
      <c r="B489" t="s">
        <v>470</v>
      </c>
      <c r="C489" t="s">
        <v>864</v>
      </c>
      <c r="D489" s="14">
        <v>35737</v>
      </c>
      <c r="E489" s="14">
        <v>35769</v>
      </c>
      <c r="F489" t="s">
        <v>857</v>
      </c>
      <c r="G489" s="10">
        <v>98.89</v>
      </c>
      <c r="H489" t="s">
        <v>193</v>
      </c>
    </row>
    <row r="490" spans="1:8" x14ac:dyDescent="0.45">
      <c r="A490">
        <v>10728</v>
      </c>
      <c r="B490" t="s">
        <v>444</v>
      </c>
      <c r="C490" t="s">
        <v>858</v>
      </c>
      <c r="D490" s="14">
        <v>35738</v>
      </c>
      <c r="E490" s="14">
        <v>35745</v>
      </c>
      <c r="F490" t="s">
        <v>859</v>
      </c>
      <c r="G490" s="10">
        <v>64.162999999999997</v>
      </c>
      <c r="H490" t="s">
        <v>113</v>
      </c>
    </row>
    <row r="491" spans="1:8" x14ac:dyDescent="0.45">
      <c r="A491">
        <v>10729</v>
      </c>
      <c r="B491" t="s">
        <v>341</v>
      </c>
      <c r="C491" t="s">
        <v>863</v>
      </c>
      <c r="D491" s="14">
        <v>35738</v>
      </c>
      <c r="E491" s="14">
        <v>35748</v>
      </c>
      <c r="F491" t="s">
        <v>855</v>
      </c>
      <c r="G491" s="10">
        <v>155.166</v>
      </c>
      <c r="H491" t="s">
        <v>240</v>
      </c>
    </row>
    <row r="492" spans="1:8" x14ac:dyDescent="0.45">
      <c r="A492">
        <v>10730</v>
      </c>
      <c r="B492" t="s">
        <v>63</v>
      </c>
      <c r="C492" t="s">
        <v>854</v>
      </c>
      <c r="D492" s="14">
        <v>35739</v>
      </c>
      <c r="E492" s="14">
        <v>35748</v>
      </c>
      <c r="F492" t="s">
        <v>857</v>
      </c>
      <c r="G492" s="10">
        <v>22.132000000000001</v>
      </c>
      <c r="H492" t="s">
        <v>52</v>
      </c>
    </row>
    <row r="493" spans="1:8" x14ac:dyDescent="0.45">
      <c r="A493">
        <v>10731</v>
      </c>
      <c r="B493" t="s">
        <v>99</v>
      </c>
      <c r="C493" t="s">
        <v>865</v>
      </c>
      <c r="D493" s="14">
        <v>35740</v>
      </c>
      <c r="E493" s="14">
        <v>35748</v>
      </c>
      <c r="F493" t="s">
        <v>857</v>
      </c>
      <c r="G493" s="10">
        <v>106.315</v>
      </c>
      <c r="H493" t="s">
        <v>104</v>
      </c>
    </row>
    <row r="494" spans="1:8" x14ac:dyDescent="0.45">
      <c r="A494">
        <v>10732</v>
      </c>
      <c r="B494" t="s">
        <v>63</v>
      </c>
      <c r="C494" t="s">
        <v>860</v>
      </c>
      <c r="D494" s="14">
        <v>35740</v>
      </c>
      <c r="E494" s="14">
        <v>35741</v>
      </c>
      <c r="F494" t="s">
        <v>857</v>
      </c>
      <c r="G494" s="10">
        <v>18.667000000000002</v>
      </c>
      <c r="H494" t="s">
        <v>52</v>
      </c>
    </row>
    <row r="495" spans="1:8" x14ac:dyDescent="0.45">
      <c r="A495">
        <v>10733</v>
      </c>
      <c r="B495" t="s">
        <v>32</v>
      </c>
      <c r="C495" t="s">
        <v>862</v>
      </c>
      <c r="D495" s="14">
        <v>35741</v>
      </c>
      <c r="E495" s="14">
        <v>35744</v>
      </c>
      <c r="F495" t="s">
        <v>855</v>
      </c>
      <c r="G495" s="10">
        <v>121.121</v>
      </c>
      <c r="H495" t="s">
        <v>37</v>
      </c>
    </row>
    <row r="496" spans="1:8" x14ac:dyDescent="0.45">
      <c r="A496">
        <v>10734</v>
      </c>
      <c r="B496" t="s">
        <v>218</v>
      </c>
      <c r="C496" t="s">
        <v>864</v>
      </c>
      <c r="D496" s="14">
        <v>35741</v>
      </c>
      <c r="E496" s="14">
        <v>35746</v>
      </c>
      <c r="F496" t="s">
        <v>855</v>
      </c>
      <c r="G496" s="10">
        <v>1.7929999999999999</v>
      </c>
      <c r="H496" t="s">
        <v>113</v>
      </c>
    </row>
    <row r="497" spans="1:8" x14ac:dyDescent="0.45">
      <c r="A497">
        <v>10735</v>
      </c>
      <c r="B497" t="s">
        <v>325</v>
      </c>
      <c r="C497" t="s">
        <v>856</v>
      </c>
      <c r="D497" s="14">
        <v>35744</v>
      </c>
      <c r="E497" s="14">
        <v>35755</v>
      </c>
      <c r="F497" t="s">
        <v>859</v>
      </c>
      <c r="G497" s="10">
        <v>50.567</v>
      </c>
      <c r="H497" t="s">
        <v>231</v>
      </c>
    </row>
    <row r="498" spans="1:8" x14ac:dyDescent="0.45">
      <c r="A498">
        <v>10736</v>
      </c>
      <c r="B498" t="s">
        <v>266</v>
      </c>
      <c r="C498" t="s">
        <v>861</v>
      </c>
      <c r="D498" s="14">
        <v>35745</v>
      </c>
      <c r="E498" s="14">
        <v>35755</v>
      </c>
      <c r="F498" t="s">
        <v>859</v>
      </c>
      <c r="G498" s="10">
        <v>48.51</v>
      </c>
      <c r="H498" t="s">
        <v>271</v>
      </c>
    </row>
    <row r="499" spans="1:8" x14ac:dyDescent="0.45">
      <c r="A499">
        <v>10737</v>
      </c>
      <c r="B499" t="s">
        <v>600</v>
      </c>
      <c r="C499" t="s">
        <v>864</v>
      </c>
      <c r="D499" s="14">
        <v>35745</v>
      </c>
      <c r="E499" s="14">
        <v>35752</v>
      </c>
      <c r="F499" t="s">
        <v>859</v>
      </c>
      <c r="G499" s="10">
        <v>8.5690000000000008</v>
      </c>
      <c r="H499" t="s">
        <v>52</v>
      </c>
    </row>
    <row r="500" spans="1:8" x14ac:dyDescent="0.45">
      <c r="A500">
        <v>10738</v>
      </c>
      <c r="B500" t="s">
        <v>526</v>
      </c>
      <c r="C500" t="s">
        <v>864</v>
      </c>
      <c r="D500" s="14">
        <v>35746</v>
      </c>
      <c r="E500" s="14">
        <v>35752</v>
      </c>
      <c r="F500" t="s">
        <v>857</v>
      </c>
      <c r="G500" s="10">
        <v>3.2010000000000001</v>
      </c>
      <c r="H500" t="s">
        <v>52</v>
      </c>
    </row>
    <row r="501" spans="1:8" x14ac:dyDescent="0.45">
      <c r="A501">
        <v>10739</v>
      </c>
      <c r="B501" t="s">
        <v>600</v>
      </c>
      <c r="C501" t="s">
        <v>860</v>
      </c>
      <c r="D501" s="14">
        <v>35746</v>
      </c>
      <c r="E501" s="14">
        <v>35751</v>
      </c>
      <c r="F501" t="s">
        <v>855</v>
      </c>
      <c r="G501" s="10">
        <v>12.188000000000001</v>
      </c>
      <c r="H501" t="s">
        <v>52</v>
      </c>
    </row>
    <row r="502" spans="1:8" x14ac:dyDescent="0.45">
      <c r="A502">
        <v>10740</v>
      </c>
      <c r="B502" t="s">
        <v>629</v>
      </c>
      <c r="C502" t="s">
        <v>858</v>
      </c>
      <c r="D502" s="14">
        <v>35747</v>
      </c>
      <c r="E502" s="14">
        <v>35759</v>
      </c>
      <c r="F502" t="s">
        <v>859</v>
      </c>
      <c r="G502" s="10">
        <v>90.067999999999998</v>
      </c>
      <c r="H502" t="s">
        <v>231</v>
      </c>
    </row>
    <row r="503" spans="1:8" x14ac:dyDescent="0.45">
      <c r="A503">
        <v>10741</v>
      </c>
      <c r="B503" t="s">
        <v>24</v>
      </c>
      <c r="C503" t="s">
        <v>858</v>
      </c>
      <c r="D503" s="14">
        <v>35748</v>
      </c>
      <c r="E503" s="14">
        <v>35752</v>
      </c>
      <c r="F503" t="s">
        <v>855</v>
      </c>
      <c r="G503" s="10">
        <v>12.055999999999999</v>
      </c>
      <c r="H503" t="s">
        <v>29</v>
      </c>
    </row>
    <row r="504" spans="1:8" x14ac:dyDescent="0.45">
      <c r="A504">
        <v>10742</v>
      </c>
      <c r="B504" t="s">
        <v>70</v>
      </c>
      <c r="C504" t="s">
        <v>860</v>
      </c>
      <c r="D504" s="14">
        <v>35748</v>
      </c>
      <c r="E504" s="14">
        <v>35752</v>
      </c>
      <c r="F504" t="s">
        <v>855</v>
      </c>
      <c r="G504" s="10">
        <v>268.10300000000001</v>
      </c>
      <c r="H504" t="s">
        <v>76</v>
      </c>
    </row>
    <row r="505" spans="1:8" x14ac:dyDescent="0.45">
      <c r="A505">
        <v>10743</v>
      </c>
      <c r="B505" t="s">
        <v>24</v>
      </c>
      <c r="C505" t="s">
        <v>862</v>
      </c>
      <c r="D505" s="14">
        <v>35751</v>
      </c>
      <c r="E505" s="14">
        <v>35755</v>
      </c>
      <c r="F505" t="s">
        <v>859</v>
      </c>
      <c r="G505" s="10">
        <v>26.091999999999999</v>
      </c>
      <c r="H505" t="s">
        <v>29</v>
      </c>
    </row>
    <row r="506" spans="1:8" x14ac:dyDescent="0.45">
      <c r="A506">
        <v>10744</v>
      </c>
      <c r="B506" t="s">
        <v>586</v>
      </c>
      <c r="C506" t="s">
        <v>856</v>
      </c>
      <c r="D506" s="14">
        <v>35751</v>
      </c>
      <c r="E506" s="14">
        <v>35758</v>
      </c>
      <c r="F506" t="s">
        <v>857</v>
      </c>
      <c r="G506" s="10">
        <v>76.108999999999995</v>
      </c>
      <c r="H506" t="s">
        <v>523</v>
      </c>
    </row>
    <row r="507" spans="1:8" x14ac:dyDescent="0.45">
      <c r="A507">
        <v>10745</v>
      </c>
      <c r="B507" t="s">
        <v>450</v>
      </c>
      <c r="C507" t="s">
        <v>861</v>
      </c>
      <c r="D507" s="14">
        <v>35752</v>
      </c>
      <c r="E507" s="14">
        <v>35761</v>
      </c>
      <c r="F507" t="s">
        <v>857</v>
      </c>
      <c r="G507" s="10">
        <v>3.8719999999999999</v>
      </c>
      <c r="H507" t="s">
        <v>7</v>
      </c>
    </row>
    <row r="508" spans="1:8" x14ac:dyDescent="0.45">
      <c r="A508">
        <v>10746</v>
      </c>
      <c r="B508" t="s">
        <v>99</v>
      </c>
      <c r="C508" t="s">
        <v>862</v>
      </c>
      <c r="D508" s="14">
        <v>35753</v>
      </c>
      <c r="E508" s="14">
        <v>35755</v>
      </c>
      <c r="F508" t="s">
        <v>855</v>
      </c>
      <c r="G508" s="10">
        <v>34.573</v>
      </c>
      <c r="H508" t="s">
        <v>104</v>
      </c>
    </row>
    <row r="509" spans="1:8" x14ac:dyDescent="0.45">
      <c r="A509">
        <v>10747</v>
      </c>
      <c r="B509" t="s">
        <v>425</v>
      </c>
      <c r="C509" t="s">
        <v>856</v>
      </c>
      <c r="D509" s="14">
        <v>35753</v>
      </c>
      <c r="E509" s="14">
        <v>35760</v>
      </c>
      <c r="F509" t="s">
        <v>857</v>
      </c>
      <c r="G509" s="10">
        <v>129.06299999999999</v>
      </c>
      <c r="H509" t="s">
        <v>147</v>
      </c>
    </row>
    <row r="510" spans="1:8" x14ac:dyDescent="0.45">
      <c r="A510">
        <v>10748</v>
      </c>
      <c r="B510" t="s">
        <v>504</v>
      </c>
      <c r="C510" t="s">
        <v>860</v>
      </c>
      <c r="D510" s="14">
        <v>35754</v>
      </c>
      <c r="E510" s="14">
        <v>35762</v>
      </c>
      <c r="F510" t="s">
        <v>857</v>
      </c>
      <c r="G510" s="10">
        <v>255.80500000000001</v>
      </c>
      <c r="H510" t="s">
        <v>231</v>
      </c>
    </row>
    <row r="511" spans="1:8" x14ac:dyDescent="0.45">
      <c r="A511">
        <v>10749</v>
      </c>
      <c r="B511" t="s">
        <v>274</v>
      </c>
      <c r="C511" t="s">
        <v>858</v>
      </c>
      <c r="D511" s="14">
        <v>35754</v>
      </c>
      <c r="E511" s="14">
        <v>35783</v>
      </c>
      <c r="F511" t="s">
        <v>859</v>
      </c>
      <c r="G511" s="10">
        <v>67.683000000000007</v>
      </c>
      <c r="H511" t="s">
        <v>29</v>
      </c>
    </row>
    <row r="512" spans="1:8" x14ac:dyDescent="0.45">
      <c r="A512">
        <v>10750</v>
      </c>
      <c r="B512" t="s">
        <v>614</v>
      </c>
      <c r="C512" t="s">
        <v>861</v>
      </c>
      <c r="D512" s="14">
        <v>35755</v>
      </c>
      <c r="E512" s="14">
        <v>35758</v>
      </c>
      <c r="F512" t="s">
        <v>857</v>
      </c>
      <c r="G512" s="10">
        <v>87.23</v>
      </c>
      <c r="H512" t="s">
        <v>619</v>
      </c>
    </row>
    <row r="513" spans="1:8" x14ac:dyDescent="0.45">
      <c r="A513">
        <v>10751</v>
      </c>
      <c r="B513" t="s">
        <v>483</v>
      </c>
      <c r="C513" t="s">
        <v>860</v>
      </c>
      <c r="D513" s="14">
        <v>35758</v>
      </c>
      <c r="E513" s="14">
        <v>35767</v>
      </c>
      <c r="F513" t="s">
        <v>855</v>
      </c>
      <c r="G513" s="10">
        <v>143.869</v>
      </c>
      <c r="H513" t="s">
        <v>104</v>
      </c>
    </row>
    <row r="514" spans="1:8" x14ac:dyDescent="0.45">
      <c r="A514">
        <v>10752</v>
      </c>
      <c r="B514" t="s">
        <v>386</v>
      </c>
      <c r="C514" t="s">
        <v>864</v>
      </c>
      <c r="D514" s="14">
        <v>35758</v>
      </c>
      <c r="E514" s="14">
        <v>35762</v>
      </c>
      <c r="F514" t="s">
        <v>855</v>
      </c>
      <c r="G514" s="10">
        <v>1.5289999999999999</v>
      </c>
      <c r="H514" t="s">
        <v>29</v>
      </c>
    </row>
    <row r="515" spans="1:8" x14ac:dyDescent="0.45">
      <c r="A515">
        <v>10753</v>
      </c>
      <c r="B515" t="s">
        <v>188</v>
      </c>
      <c r="C515" t="s">
        <v>860</v>
      </c>
      <c r="D515" s="14">
        <v>35759</v>
      </c>
      <c r="E515" s="14">
        <v>35761</v>
      </c>
      <c r="F515" t="s">
        <v>857</v>
      </c>
      <c r="G515" s="10">
        <v>8.4700000000000006</v>
      </c>
      <c r="H515" t="s">
        <v>193</v>
      </c>
    </row>
    <row r="516" spans="1:8" x14ac:dyDescent="0.45">
      <c r="A516">
        <v>10754</v>
      </c>
      <c r="B516" t="s">
        <v>356</v>
      </c>
      <c r="C516" t="s">
        <v>856</v>
      </c>
      <c r="D516" s="14">
        <v>35759</v>
      </c>
      <c r="E516" s="14">
        <v>35761</v>
      </c>
      <c r="F516" t="s">
        <v>855</v>
      </c>
      <c r="G516" s="10">
        <v>2.6179999999999999</v>
      </c>
      <c r="H516" t="s">
        <v>193</v>
      </c>
    </row>
    <row r="517" spans="1:8" x14ac:dyDescent="0.45">
      <c r="A517">
        <v>10755</v>
      </c>
      <c r="B517" t="s">
        <v>63</v>
      </c>
      <c r="C517" t="s">
        <v>858</v>
      </c>
      <c r="D517" s="14">
        <v>35760</v>
      </c>
      <c r="E517" s="14">
        <v>35762</v>
      </c>
      <c r="F517" t="s">
        <v>859</v>
      </c>
      <c r="G517" s="10">
        <v>18.381</v>
      </c>
      <c r="H517" t="s">
        <v>52</v>
      </c>
    </row>
    <row r="518" spans="1:8" x14ac:dyDescent="0.45">
      <c r="A518">
        <v>10756</v>
      </c>
      <c r="B518" t="s">
        <v>532</v>
      </c>
      <c r="C518" t="s">
        <v>863</v>
      </c>
      <c r="D518" s="14">
        <v>35761</v>
      </c>
      <c r="E518" s="14">
        <v>35766</v>
      </c>
      <c r="F518" t="s">
        <v>859</v>
      </c>
      <c r="G518" s="10">
        <v>80.531000000000006</v>
      </c>
      <c r="H518" t="s">
        <v>231</v>
      </c>
    </row>
    <row r="519" spans="1:8" x14ac:dyDescent="0.45">
      <c r="A519">
        <v>10757</v>
      </c>
      <c r="B519" t="s">
        <v>504</v>
      </c>
      <c r="C519" t="s">
        <v>856</v>
      </c>
      <c r="D519" s="14">
        <v>35761</v>
      </c>
      <c r="E519" s="14">
        <v>35779</v>
      </c>
      <c r="F519" t="s">
        <v>857</v>
      </c>
      <c r="G519" s="10">
        <v>9.0090000000000003</v>
      </c>
      <c r="H519" t="s">
        <v>231</v>
      </c>
    </row>
    <row r="520" spans="1:8" x14ac:dyDescent="0.45">
      <c r="A520">
        <v>10758</v>
      </c>
      <c r="B520" t="s">
        <v>483</v>
      </c>
      <c r="C520" t="s">
        <v>860</v>
      </c>
      <c r="D520" s="14">
        <v>35762</v>
      </c>
      <c r="E520" s="14">
        <v>35768</v>
      </c>
      <c r="F520" t="s">
        <v>855</v>
      </c>
      <c r="G520" s="10">
        <v>151.98699999999999</v>
      </c>
      <c r="H520" t="s">
        <v>104</v>
      </c>
    </row>
    <row r="521" spans="1:8" x14ac:dyDescent="0.45">
      <c r="A521">
        <v>10759</v>
      </c>
      <c r="B521" t="s">
        <v>10</v>
      </c>
      <c r="C521" t="s">
        <v>860</v>
      </c>
      <c r="D521" s="14">
        <v>35762</v>
      </c>
      <c r="E521" s="14">
        <v>35776</v>
      </c>
      <c r="F521" t="s">
        <v>855</v>
      </c>
      <c r="G521" s="10">
        <v>13.189</v>
      </c>
      <c r="H521" t="s">
        <v>15</v>
      </c>
    </row>
    <row r="522" spans="1:8" x14ac:dyDescent="0.45">
      <c r="A522">
        <v>10760</v>
      </c>
      <c r="B522" t="s">
        <v>363</v>
      </c>
      <c r="C522" t="s">
        <v>858</v>
      </c>
      <c r="D522" s="14">
        <v>35765</v>
      </c>
      <c r="E522" s="14">
        <v>35774</v>
      </c>
      <c r="F522" t="s">
        <v>857</v>
      </c>
      <c r="G522" s="10">
        <v>171.20400000000001</v>
      </c>
      <c r="H522" t="s">
        <v>368</v>
      </c>
    </row>
    <row r="523" spans="1:8" x14ac:dyDescent="0.45">
      <c r="A523">
        <v>10761</v>
      </c>
      <c r="B523" t="s">
        <v>462</v>
      </c>
      <c r="C523" t="s">
        <v>854</v>
      </c>
      <c r="D523" s="14">
        <v>35766</v>
      </c>
      <c r="E523" s="14">
        <v>35772</v>
      </c>
      <c r="F523" t="s">
        <v>859</v>
      </c>
      <c r="G523" s="10">
        <v>20.526</v>
      </c>
      <c r="H523" t="s">
        <v>231</v>
      </c>
    </row>
    <row r="524" spans="1:8" x14ac:dyDescent="0.45">
      <c r="A524">
        <v>10762</v>
      </c>
      <c r="B524" t="s">
        <v>169</v>
      </c>
      <c r="C524" t="s">
        <v>860</v>
      </c>
      <c r="D524" s="14">
        <v>35766</v>
      </c>
      <c r="E524" s="14">
        <v>35773</v>
      </c>
      <c r="F524" t="s">
        <v>857</v>
      </c>
      <c r="G524" s="10">
        <v>361.61399999999998</v>
      </c>
      <c r="H524" t="s">
        <v>37</v>
      </c>
    </row>
    <row r="525" spans="1:8" x14ac:dyDescent="0.45">
      <c r="A525">
        <v>10763</v>
      </c>
      <c r="B525" t="s">
        <v>162</v>
      </c>
      <c r="C525" t="s">
        <v>860</v>
      </c>
      <c r="D525" s="14">
        <v>35767</v>
      </c>
      <c r="E525" s="14">
        <v>35772</v>
      </c>
      <c r="F525" t="s">
        <v>855</v>
      </c>
      <c r="G525" s="10">
        <v>41.085000000000001</v>
      </c>
      <c r="H525" t="s">
        <v>52</v>
      </c>
    </row>
    <row r="526" spans="1:8" x14ac:dyDescent="0.45">
      <c r="A526">
        <v>10764</v>
      </c>
      <c r="B526" t="s">
        <v>142</v>
      </c>
      <c r="C526" t="s">
        <v>856</v>
      </c>
      <c r="D526" s="14">
        <v>35767</v>
      </c>
      <c r="E526" s="14">
        <v>35772</v>
      </c>
      <c r="F526" t="s">
        <v>855</v>
      </c>
      <c r="G526" s="10">
        <v>159.995</v>
      </c>
      <c r="H526" t="s">
        <v>147</v>
      </c>
    </row>
    <row r="527" spans="1:8" x14ac:dyDescent="0.45">
      <c r="A527">
        <v>10765</v>
      </c>
      <c r="B527" t="s">
        <v>450</v>
      </c>
      <c r="C527" t="s">
        <v>860</v>
      </c>
      <c r="D527" s="14">
        <v>35768</v>
      </c>
      <c r="E527" s="14">
        <v>35773</v>
      </c>
      <c r="F527" t="s">
        <v>855</v>
      </c>
      <c r="G527" s="10">
        <v>47.014000000000003</v>
      </c>
      <c r="H527" t="s">
        <v>7</v>
      </c>
    </row>
    <row r="528" spans="1:8" x14ac:dyDescent="0.45">
      <c r="A528">
        <v>10766</v>
      </c>
      <c r="B528" t="s">
        <v>405</v>
      </c>
      <c r="C528" t="s">
        <v>858</v>
      </c>
      <c r="D528" s="14">
        <v>35769</v>
      </c>
      <c r="E528" s="14">
        <v>35773</v>
      </c>
      <c r="F528" t="s">
        <v>857</v>
      </c>
      <c r="G528" s="10">
        <v>173.30500000000001</v>
      </c>
      <c r="H528" t="s">
        <v>7</v>
      </c>
    </row>
    <row r="529" spans="1:8" x14ac:dyDescent="0.45">
      <c r="A529">
        <v>10767</v>
      </c>
      <c r="B529" t="s">
        <v>540</v>
      </c>
      <c r="C529" t="s">
        <v>858</v>
      </c>
      <c r="D529" s="14">
        <v>35769</v>
      </c>
      <c r="E529" s="14">
        <v>35779</v>
      </c>
      <c r="F529" t="s">
        <v>855</v>
      </c>
      <c r="G529" s="10">
        <v>1.7490000000000001</v>
      </c>
      <c r="H529" t="s">
        <v>368</v>
      </c>
    </row>
    <row r="530" spans="1:8" x14ac:dyDescent="0.45">
      <c r="A530">
        <v>10768</v>
      </c>
      <c r="B530" t="s">
        <v>24</v>
      </c>
      <c r="C530" t="s">
        <v>860</v>
      </c>
      <c r="D530" s="14">
        <v>35772</v>
      </c>
      <c r="E530" s="14">
        <v>35779</v>
      </c>
      <c r="F530" t="s">
        <v>859</v>
      </c>
      <c r="G530" s="10">
        <v>160.952</v>
      </c>
      <c r="H530" t="s">
        <v>29</v>
      </c>
    </row>
    <row r="531" spans="1:8" x14ac:dyDescent="0.45">
      <c r="A531">
        <v>10769</v>
      </c>
      <c r="B531" t="s">
        <v>586</v>
      </c>
      <c r="C531" t="s">
        <v>860</v>
      </c>
      <c r="D531" s="14">
        <v>35772</v>
      </c>
      <c r="E531" s="14">
        <v>35776</v>
      </c>
      <c r="F531" t="s">
        <v>857</v>
      </c>
      <c r="G531" s="10">
        <v>71.566000000000003</v>
      </c>
      <c r="H531" t="s">
        <v>523</v>
      </c>
    </row>
    <row r="532" spans="1:8" x14ac:dyDescent="0.45">
      <c r="A532">
        <v>10770</v>
      </c>
      <c r="B532" t="s">
        <v>243</v>
      </c>
      <c r="C532" t="s">
        <v>863</v>
      </c>
      <c r="D532" s="14">
        <v>35773</v>
      </c>
      <c r="E532" s="14">
        <v>35781</v>
      </c>
      <c r="F532" t="s">
        <v>855</v>
      </c>
      <c r="G532" s="10">
        <v>5.8520000000000003</v>
      </c>
      <c r="H532" t="s">
        <v>113</v>
      </c>
    </row>
    <row r="533" spans="1:8" x14ac:dyDescent="0.45">
      <c r="A533">
        <v>10771</v>
      </c>
      <c r="B533" t="s">
        <v>142</v>
      </c>
      <c r="C533" t="s">
        <v>861</v>
      </c>
      <c r="D533" s="14">
        <v>35774</v>
      </c>
      <c r="E533" s="14">
        <v>35797</v>
      </c>
      <c r="F533" t="s">
        <v>859</v>
      </c>
      <c r="G533" s="10">
        <v>12.308999999999999</v>
      </c>
      <c r="H533" t="s">
        <v>147</v>
      </c>
    </row>
    <row r="534" spans="1:8" x14ac:dyDescent="0.45">
      <c r="A534">
        <v>10772</v>
      </c>
      <c r="B534" t="s">
        <v>318</v>
      </c>
      <c r="C534" t="s">
        <v>860</v>
      </c>
      <c r="D534" s="14">
        <v>35774</v>
      </c>
      <c r="E534" s="14">
        <v>35783</v>
      </c>
      <c r="F534" t="s">
        <v>859</v>
      </c>
      <c r="G534" s="10">
        <v>100.408</v>
      </c>
      <c r="H534" t="s">
        <v>7</v>
      </c>
    </row>
    <row r="535" spans="1:8" x14ac:dyDescent="0.45">
      <c r="A535">
        <v>10773</v>
      </c>
      <c r="B535" t="s">
        <v>142</v>
      </c>
      <c r="C535" t="s">
        <v>862</v>
      </c>
      <c r="D535" s="14">
        <v>35775</v>
      </c>
      <c r="E535" s="14">
        <v>35780</v>
      </c>
      <c r="F535" t="s">
        <v>855</v>
      </c>
      <c r="G535" s="10">
        <v>106.07299999999999</v>
      </c>
      <c r="H535" t="s">
        <v>147</v>
      </c>
    </row>
    <row r="536" spans="1:8" x14ac:dyDescent="0.45">
      <c r="A536">
        <v>10774</v>
      </c>
      <c r="B536" t="s">
        <v>169</v>
      </c>
      <c r="C536" t="s">
        <v>858</v>
      </c>
      <c r="D536" s="14">
        <v>35775</v>
      </c>
      <c r="E536" s="14">
        <v>35776</v>
      </c>
      <c r="F536" t="s">
        <v>857</v>
      </c>
      <c r="G536" s="10">
        <v>53.02</v>
      </c>
      <c r="H536" t="s">
        <v>37</v>
      </c>
    </row>
    <row r="537" spans="1:8" x14ac:dyDescent="0.45">
      <c r="A537">
        <v>10775</v>
      </c>
      <c r="B537" t="s">
        <v>553</v>
      </c>
      <c r="C537" t="s">
        <v>865</v>
      </c>
      <c r="D537" s="14">
        <v>35776</v>
      </c>
      <c r="E537" s="14">
        <v>35790</v>
      </c>
      <c r="F537" t="s">
        <v>857</v>
      </c>
      <c r="G537" s="10">
        <v>22.274999999999999</v>
      </c>
      <c r="H537" t="s">
        <v>231</v>
      </c>
    </row>
    <row r="538" spans="1:8" x14ac:dyDescent="0.45">
      <c r="A538">
        <v>10776</v>
      </c>
      <c r="B538" t="s">
        <v>142</v>
      </c>
      <c r="C538" t="s">
        <v>862</v>
      </c>
      <c r="D538" s="14">
        <v>35779</v>
      </c>
      <c r="E538" s="14">
        <v>35782</v>
      </c>
      <c r="F538" t="s">
        <v>855</v>
      </c>
      <c r="G538" s="10">
        <v>386.68299999999999</v>
      </c>
      <c r="H538" t="s">
        <v>147</v>
      </c>
    </row>
    <row r="539" spans="1:8" x14ac:dyDescent="0.45">
      <c r="A539">
        <v>10777</v>
      </c>
      <c r="B539" t="s">
        <v>218</v>
      </c>
      <c r="C539" t="s">
        <v>865</v>
      </c>
      <c r="D539" s="14">
        <v>35779</v>
      </c>
      <c r="E539" s="14">
        <v>35816</v>
      </c>
      <c r="F539" t="s">
        <v>859</v>
      </c>
      <c r="G539" s="10">
        <v>3.3109999999999999</v>
      </c>
      <c r="H539" t="s">
        <v>113</v>
      </c>
    </row>
    <row r="540" spans="1:8" x14ac:dyDescent="0.45">
      <c r="A540">
        <v>10778</v>
      </c>
      <c r="B540" t="s">
        <v>32</v>
      </c>
      <c r="C540" t="s">
        <v>860</v>
      </c>
      <c r="D540" s="14">
        <v>35780</v>
      </c>
      <c r="E540" s="14">
        <v>35788</v>
      </c>
      <c r="F540" t="s">
        <v>857</v>
      </c>
      <c r="G540" s="10">
        <v>7.4690000000000003</v>
      </c>
      <c r="H540" t="s">
        <v>37</v>
      </c>
    </row>
    <row r="541" spans="1:8" x14ac:dyDescent="0.45">
      <c r="A541">
        <v>10779</v>
      </c>
      <c r="B541" t="s">
        <v>379</v>
      </c>
      <c r="C541" t="s">
        <v>860</v>
      </c>
      <c r="D541" s="14">
        <v>35780</v>
      </c>
      <c r="E541" s="14">
        <v>35809</v>
      </c>
      <c r="F541" t="s">
        <v>859</v>
      </c>
      <c r="G541" s="10">
        <v>63.942999999999998</v>
      </c>
      <c r="H541" t="s">
        <v>7</v>
      </c>
    </row>
    <row r="542" spans="1:8" x14ac:dyDescent="0.45">
      <c r="A542">
        <v>10780</v>
      </c>
      <c r="B542" t="s">
        <v>333</v>
      </c>
      <c r="C542" t="s">
        <v>864</v>
      </c>
      <c r="D542" s="14">
        <v>35780</v>
      </c>
      <c r="E542" s="14">
        <v>35789</v>
      </c>
      <c r="F542" t="s">
        <v>857</v>
      </c>
      <c r="G542" s="10">
        <v>46.343000000000004</v>
      </c>
      <c r="H542" t="s">
        <v>240</v>
      </c>
    </row>
    <row r="543" spans="1:8" x14ac:dyDescent="0.45">
      <c r="A543">
        <v>10781</v>
      </c>
      <c r="B543" t="s">
        <v>614</v>
      </c>
      <c r="C543" t="s">
        <v>864</v>
      </c>
      <c r="D543" s="14">
        <v>35781</v>
      </c>
      <c r="E543" s="14">
        <v>35783</v>
      </c>
      <c r="F543" t="s">
        <v>855</v>
      </c>
      <c r="G543" s="10">
        <v>80.475999999999999</v>
      </c>
      <c r="H543" t="s">
        <v>619</v>
      </c>
    </row>
    <row r="544" spans="1:8" x14ac:dyDescent="0.45">
      <c r="A544">
        <v>10782</v>
      </c>
      <c r="B544" t="s">
        <v>85</v>
      </c>
      <c r="C544" t="s">
        <v>861</v>
      </c>
      <c r="D544" s="14">
        <v>35781</v>
      </c>
      <c r="E544" s="14">
        <v>35786</v>
      </c>
      <c r="F544" t="s">
        <v>855</v>
      </c>
      <c r="G544" s="10">
        <v>1.21</v>
      </c>
      <c r="H544" t="s">
        <v>90</v>
      </c>
    </row>
    <row r="545" spans="1:8" x14ac:dyDescent="0.45">
      <c r="A545">
        <v>10783</v>
      </c>
      <c r="B545" t="s">
        <v>243</v>
      </c>
      <c r="C545" t="s">
        <v>858</v>
      </c>
      <c r="D545" s="14">
        <v>35782</v>
      </c>
      <c r="E545" s="14">
        <v>35783</v>
      </c>
      <c r="F545" t="s">
        <v>859</v>
      </c>
      <c r="G545" s="10">
        <v>137.47800000000001</v>
      </c>
      <c r="H545" t="s">
        <v>113</v>
      </c>
    </row>
    <row r="546" spans="1:8" x14ac:dyDescent="0.45">
      <c r="A546">
        <v>10784</v>
      </c>
      <c r="B546" t="s">
        <v>356</v>
      </c>
      <c r="C546" t="s">
        <v>858</v>
      </c>
      <c r="D546" s="14">
        <v>35782</v>
      </c>
      <c r="E546" s="14">
        <v>35786</v>
      </c>
      <c r="F546" t="s">
        <v>855</v>
      </c>
      <c r="G546" s="10">
        <v>77.099000000000004</v>
      </c>
      <c r="H546" t="s">
        <v>193</v>
      </c>
    </row>
    <row r="547" spans="1:8" x14ac:dyDescent="0.45">
      <c r="A547">
        <v>10785</v>
      </c>
      <c r="B547" t="s">
        <v>234</v>
      </c>
      <c r="C547" t="s">
        <v>862</v>
      </c>
      <c r="D547" s="14">
        <v>35782</v>
      </c>
      <c r="E547" s="14">
        <v>35788</v>
      </c>
      <c r="F547" t="s">
        <v>855</v>
      </c>
      <c r="G547" s="10">
        <v>1.661</v>
      </c>
      <c r="H547" t="s">
        <v>240</v>
      </c>
    </row>
    <row r="548" spans="1:8" x14ac:dyDescent="0.45">
      <c r="A548">
        <v>10786</v>
      </c>
      <c r="B548" t="s">
        <v>444</v>
      </c>
      <c r="C548" t="s">
        <v>863</v>
      </c>
      <c r="D548" s="14">
        <v>35783</v>
      </c>
      <c r="E548" s="14">
        <v>35787</v>
      </c>
      <c r="F548" t="s">
        <v>857</v>
      </c>
      <c r="G548" s="10">
        <v>121.95699999999999</v>
      </c>
      <c r="H548" t="s">
        <v>113</v>
      </c>
    </row>
    <row r="549" spans="1:8" x14ac:dyDescent="0.45">
      <c r="A549">
        <v>10787</v>
      </c>
      <c r="B549" t="s">
        <v>296</v>
      </c>
      <c r="C549" t="s">
        <v>864</v>
      </c>
      <c r="D549" s="14">
        <v>35783</v>
      </c>
      <c r="E549" s="14">
        <v>35790</v>
      </c>
      <c r="F549" t="s">
        <v>857</v>
      </c>
      <c r="G549" s="10">
        <v>274.923</v>
      </c>
      <c r="H549" t="s">
        <v>52</v>
      </c>
    </row>
    <row r="550" spans="1:8" x14ac:dyDescent="0.45">
      <c r="A550">
        <v>10788</v>
      </c>
      <c r="B550" t="s">
        <v>450</v>
      </c>
      <c r="C550" t="s">
        <v>862</v>
      </c>
      <c r="D550" s="14">
        <v>35786</v>
      </c>
      <c r="E550" s="14">
        <v>35814</v>
      </c>
      <c r="F550" t="s">
        <v>859</v>
      </c>
      <c r="G550" s="10">
        <v>46.97</v>
      </c>
      <c r="H550" t="s">
        <v>7</v>
      </c>
    </row>
    <row r="551" spans="1:8" x14ac:dyDescent="0.45">
      <c r="A551">
        <v>10789</v>
      </c>
      <c r="B551" t="s">
        <v>162</v>
      </c>
      <c r="C551" t="s">
        <v>862</v>
      </c>
      <c r="D551" s="14">
        <v>35786</v>
      </c>
      <c r="E551" s="14">
        <v>35795</v>
      </c>
      <c r="F551" t="s">
        <v>859</v>
      </c>
      <c r="G551" s="10">
        <v>110.66</v>
      </c>
      <c r="H551" t="s">
        <v>52</v>
      </c>
    </row>
    <row r="552" spans="1:8" x14ac:dyDescent="0.45">
      <c r="A552">
        <v>10790</v>
      </c>
      <c r="B552" t="s">
        <v>218</v>
      </c>
      <c r="C552" t="s">
        <v>856</v>
      </c>
      <c r="D552" s="14">
        <v>35786</v>
      </c>
      <c r="E552" s="14">
        <v>35790</v>
      </c>
      <c r="F552" t="s">
        <v>857</v>
      </c>
      <c r="G552" s="10">
        <v>31.053000000000001</v>
      </c>
      <c r="H552" t="s">
        <v>113</v>
      </c>
    </row>
    <row r="553" spans="1:8" x14ac:dyDescent="0.45">
      <c r="A553">
        <v>10791</v>
      </c>
      <c r="B553" t="s">
        <v>176</v>
      </c>
      <c r="C553" t="s">
        <v>856</v>
      </c>
      <c r="D553" s="14">
        <v>35787</v>
      </c>
      <c r="E553" s="14">
        <v>35796</v>
      </c>
      <c r="F553" t="s">
        <v>859</v>
      </c>
      <c r="G553" s="10">
        <v>18.535</v>
      </c>
      <c r="H553" t="s">
        <v>7</v>
      </c>
    </row>
    <row r="554" spans="1:8" x14ac:dyDescent="0.45">
      <c r="A554">
        <v>10792</v>
      </c>
      <c r="B554" t="s">
        <v>643</v>
      </c>
      <c r="C554" t="s">
        <v>862</v>
      </c>
      <c r="D554" s="14">
        <v>35787</v>
      </c>
      <c r="E554" s="14">
        <v>35795</v>
      </c>
      <c r="F554" t="s">
        <v>855</v>
      </c>
      <c r="G554" s="10">
        <v>26.169</v>
      </c>
      <c r="H554" t="s">
        <v>648</v>
      </c>
    </row>
    <row r="555" spans="1:8" x14ac:dyDescent="0.45">
      <c r="A555">
        <v>10793</v>
      </c>
      <c r="B555" t="s">
        <v>24</v>
      </c>
      <c r="C555" t="s">
        <v>860</v>
      </c>
      <c r="D555" s="14">
        <v>35788</v>
      </c>
      <c r="E555" s="14">
        <v>35803</v>
      </c>
      <c r="F555" t="s">
        <v>855</v>
      </c>
      <c r="G555" s="10">
        <v>4.9720000000000004</v>
      </c>
      <c r="H555" t="s">
        <v>29</v>
      </c>
    </row>
    <row r="556" spans="1:8" x14ac:dyDescent="0.45">
      <c r="A556">
        <v>10794</v>
      </c>
      <c r="B556" t="s">
        <v>438</v>
      </c>
      <c r="C556" t="s">
        <v>856</v>
      </c>
      <c r="D556" s="14">
        <v>35788</v>
      </c>
      <c r="E556" s="14">
        <v>35797</v>
      </c>
      <c r="F556" t="s">
        <v>857</v>
      </c>
      <c r="G556" s="10">
        <v>23.638999999999999</v>
      </c>
      <c r="H556" t="s">
        <v>113</v>
      </c>
    </row>
    <row r="557" spans="1:8" x14ac:dyDescent="0.45">
      <c r="A557">
        <v>10795</v>
      </c>
      <c r="B557" t="s">
        <v>142</v>
      </c>
      <c r="C557" t="s">
        <v>863</v>
      </c>
      <c r="D557" s="14">
        <v>35788</v>
      </c>
      <c r="E557" s="14">
        <v>35815</v>
      </c>
      <c r="F557" t="s">
        <v>859</v>
      </c>
      <c r="G557" s="10">
        <v>139.32599999999999</v>
      </c>
      <c r="H557" t="s">
        <v>147</v>
      </c>
    </row>
    <row r="558" spans="1:8" x14ac:dyDescent="0.45">
      <c r="A558">
        <v>10796</v>
      </c>
      <c r="B558" t="s">
        <v>251</v>
      </c>
      <c r="C558" t="s">
        <v>860</v>
      </c>
      <c r="D558" s="14">
        <v>35789</v>
      </c>
      <c r="E558" s="14">
        <v>35809</v>
      </c>
      <c r="F558" t="s">
        <v>857</v>
      </c>
      <c r="G558" s="10">
        <v>29.172000000000001</v>
      </c>
      <c r="H558" t="s">
        <v>240</v>
      </c>
    </row>
    <row r="559" spans="1:8" x14ac:dyDescent="0.45">
      <c r="A559">
        <v>10797</v>
      </c>
      <c r="B559" t="s">
        <v>122</v>
      </c>
      <c r="C559" t="s">
        <v>865</v>
      </c>
      <c r="D559" s="14">
        <v>35789</v>
      </c>
      <c r="E559" s="14">
        <v>35800</v>
      </c>
      <c r="F559" t="s">
        <v>859</v>
      </c>
      <c r="G559" s="10">
        <v>36.685000000000002</v>
      </c>
      <c r="H559" t="s">
        <v>7</v>
      </c>
    </row>
    <row r="560" spans="1:8" x14ac:dyDescent="0.45">
      <c r="A560">
        <v>10798</v>
      </c>
      <c r="B560" t="s">
        <v>274</v>
      </c>
      <c r="C560" t="s">
        <v>864</v>
      </c>
      <c r="D560" s="14">
        <v>35790</v>
      </c>
      <c r="E560" s="14">
        <v>35800</v>
      </c>
      <c r="F560" t="s">
        <v>857</v>
      </c>
      <c r="G560" s="10">
        <v>2.5630000000000002</v>
      </c>
      <c r="H560" t="s">
        <v>29</v>
      </c>
    </row>
    <row r="561" spans="1:8" x14ac:dyDescent="0.45">
      <c r="A561">
        <v>10799</v>
      </c>
      <c r="B561" t="s">
        <v>282</v>
      </c>
      <c r="C561" t="s">
        <v>861</v>
      </c>
      <c r="D561" s="14">
        <v>35790</v>
      </c>
      <c r="E561" s="14">
        <v>35800</v>
      </c>
      <c r="F561" t="s">
        <v>855</v>
      </c>
      <c r="G561" s="10">
        <v>33.835999999999999</v>
      </c>
      <c r="H561" t="s">
        <v>7</v>
      </c>
    </row>
    <row r="562" spans="1:8" x14ac:dyDescent="0.45">
      <c r="A562">
        <v>10800</v>
      </c>
      <c r="B562" t="s">
        <v>512</v>
      </c>
      <c r="C562" t="s">
        <v>862</v>
      </c>
      <c r="D562" s="14">
        <v>35790</v>
      </c>
      <c r="E562" s="14">
        <v>35800</v>
      </c>
      <c r="F562" t="s">
        <v>855</v>
      </c>
      <c r="G562" s="10">
        <v>151.184</v>
      </c>
      <c r="H562" t="s">
        <v>29</v>
      </c>
    </row>
    <row r="563" spans="1:8" x14ac:dyDescent="0.45">
      <c r="A563">
        <v>10801</v>
      </c>
      <c r="B563" t="s">
        <v>55</v>
      </c>
      <c r="C563" t="s">
        <v>858</v>
      </c>
      <c r="D563" s="14">
        <v>35793</v>
      </c>
      <c r="E563" s="14">
        <v>35795</v>
      </c>
      <c r="F563" t="s">
        <v>859</v>
      </c>
      <c r="G563" s="10">
        <v>106.79900000000001</v>
      </c>
      <c r="H563" t="s">
        <v>60</v>
      </c>
    </row>
    <row r="564" spans="1:8" x14ac:dyDescent="0.45">
      <c r="A564">
        <v>10802</v>
      </c>
      <c r="B564" t="s">
        <v>518</v>
      </c>
      <c r="C564" t="s">
        <v>858</v>
      </c>
      <c r="D564" s="14">
        <v>35793</v>
      </c>
      <c r="E564" s="14">
        <v>35797</v>
      </c>
      <c r="F564" t="s">
        <v>859</v>
      </c>
      <c r="G564" s="10">
        <v>282.98599999999999</v>
      </c>
      <c r="H564" t="s">
        <v>523</v>
      </c>
    </row>
    <row r="565" spans="1:8" x14ac:dyDescent="0.45">
      <c r="A565">
        <v>10803</v>
      </c>
      <c r="B565" t="s">
        <v>622</v>
      </c>
      <c r="C565" t="s">
        <v>858</v>
      </c>
      <c r="D565" s="14">
        <v>35794</v>
      </c>
      <c r="E565" s="14">
        <v>35801</v>
      </c>
      <c r="F565" t="s">
        <v>857</v>
      </c>
      <c r="G565" s="10">
        <v>60.753</v>
      </c>
      <c r="H565" t="s">
        <v>113</v>
      </c>
    </row>
    <row r="566" spans="1:8" x14ac:dyDescent="0.45">
      <c r="A566">
        <v>10804</v>
      </c>
      <c r="B566" t="s">
        <v>512</v>
      </c>
      <c r="C566" t="s">
        <v>856</v>
      </c>
      <c r="D566" s="14">
        <v>35794</v>
      </c>
      <c r="E566" s="14">
        <v>35802</v>
      </c>
      <c r="F566" t="s">
        <v>859</v>
      </c>
      <c r="G566" s="10">
        <v>30.062999999999999</v>
      </c>
      <c r="H566" t="s">
        <v>29</v>
      </c>
    </row>
    <row r="567" spans="1:8" x14ac:dyDescent="0.45">
      <c r="A567">
        <v>10805</v>
      </c>
      <c r="B567" t="s">
        <v>547</v>
      </c>
      <c r="C567" t="s">
        <v>864</v>
      </c>
      <c r="D567" s="14">
        <v>35794</v>
      </c>
      <c r="E567" s="14">
        <v>35804</v>
      </c>
      <c r="F567" t="s">
        <v>855</v>
      </c>
      <c r="G567" s="10">
        <v>261.07400000000001</v>
      </c>
      <c r="H567" t="s">
        <v>231</v>
      </c>
    </row>
    <row r="568" spans="1:8" x14ac:dyDescent="0.45">
      <c r="A568">
        <v>10806</v>
      </c>
      <c r="B568" t="s">
        <v>593</v>
      </c>
      <c r="C568" t="s">
        <v>860</v>
      </c>
      <c r="D568" s="14">
        <v>35795</v>
      </c>
      <c r="E568" s="14">
        <v>35800</v>
      </c>
      <c r="F568" t="s">
        <v>859</v>
      </c>
      <c r="G568" s="10">
        <v>24.321000000000002</v>
      </c>
      <c r="H568" t="s">
        <v>52</v>
      </c>
    </row>
    <row r="569" spans="1:8" x14ac:dyDescent="0.45">
      <c r="A569">
        <v>10807</v>
      </c>
      <c r="B569" t="s">
        <v>188</v>
      </c>
      <c r="C569" t="s">
        <v>858</v>
      </c>
      <c r="D569" s="14">
        <v>35795</v>
      </c>
      <c r="E569" s="14">
        <v>35825</v>
      </c>
      <c r="F569" t="s">
        <v>857</v>
      </c>
      <c r="G569" s="10">
        <v>1.496</v>
      </c>
      <c r="H569" t="s">
        <v>193</v>
      </c>
    </row>
    <row r="570" spans="1:8" x14ac:dyDescent="0.45">
      <c r="A570">
        <v>10808</v>
      </c>
      <c r="B570" t="s">
        <v>432</v>
      </c>
      <c r="C570" t="s">
        <v>864</v>
      </c>
      <c r="D570" s="14">
        <v>35796</v>
      </c>
      <c r="E570" s="14">
        <v>35804</v>
      </c>
      <c r="F570" t="s">
        <v>855</v>
      </c>
      <c r="G570" s="10">
        <v>50.082999999999998</v>
      </c>
      <c r="H570" t="s">
        <v>231</v>
      </c>
    </row>
    <row r="571" spans="1:8" x14ac:dyDescent="0.45">
      <c r="A571">
        <v>10809</v>
      </c>
      <c r="B571" t="s">
        <v>622</v>
      </c>
      <c r="C571" t="s">
        <v>865</v>
      </c>
      <c r="D571" s="14">
        <v>35796</v>
      </c>
      <c r="E571" s="14">
        <v>35802</v>
      </c>
      <c r="F571" t="s">
        <v>857</v>
      </c>
      <c r="G571" s="10">
        <v>5.3570000000000002</v>
      </c>
      <c r="H571" t="s">
        <v>113</v>
      </c>
    </row>
    <row r="572" spans="1:8" x14ac:dyDescent="0.45">
      <c r="A572">
        <v>10810</v>
      </c>
      <c r="B572" t="s">
        <v>303</v>
      </c>
      <c r="C572" t="s">
        <v>864</v>
      </c>
      <c r="D572" s="14">
        <v>35796</v>
      </c>
      <c r="E572" s="14">
        <v>35802</v>
      </c>
      <c r="F572" t="s">
        <v>855</v>
      </c>
      <c r="G572" s="10">
        <v>4.7629999999999999</v>
      </c>
      <c r="H572" t="s">
        <v>76</v>
      </c>
    </row>
    <row r="573" spans="1:8" x14ac:dyDescent="0.45">
      <c r="A573">
        <v>10811</v>
      </c>
      <c r="B573" t="s">
        <v>341</v>
      </c>
      <c r="C573" t="s">
        <v>863</v>
      </c>
      <c r="D573" s="14">
        <v>35797</v>
      </c>
      <c r="E573" s="14">
        <v>35803</v>
      </c>
      <c r="F573" t="s">
        <v>857</v>
      </c>
      <c r="G573" s="10">
        <v>34.341999999999999</v>
      </c>
      <c r="H573" t="s">
        <v>240</v>
      </c>
    </row>
    <row r="574" spans="1:8" x14ac:dyDescent="0.45">
      <c r="A574">
        <v>10812</v>
      </c>
      <c r="B574" t="s">
        <v>470</v>
      </c>
      <c r="C574" t="s">
        <v>854</v>
      </c>
      <c r="D574" s="14">
        <v>35797</v>
      </c>
      <c r="E574" s="14">
        <v>35807</v>
      </c>
      <c r="F574" t="s">
        <v>857</v>
      </c>
      <c r="G574" s="10">
        <v>65.757999999999996</v>
      </c>
      <c r="H574" t="s">
        <v>193</v>
      </c>
    </row>
    <row r="575" spans="1:8" x14ac:dyDescent="0.45">
      <c r="A575">
        <v>10813</v>
      </c>
      <c r="B575" t="s">
        <v>477</v>
      </c>
      <c r="C575" t="s">
        <v>862</v>
      </c>
      <c r="D575" s="14">
        <v>35800</v>
      </c>
      <c r="E575" s="14">
        <v>35804</v>
      </c>
      <c r="F575" t="s">
        <v>857</v>
      </c>
      <c r="G575" s="10">
        <v>52.118000000000002</v>
      </c>
      <c r="H575" t="s">
        <v>113</v>
      </c>
    </row>
    <row r="576" spans="1:8" x14ac:dyDescent="0.45">
      <c r="A576">
        <v>10814</v>
      </c>
      <c r="B576" t="s">
        <v>593</v>
      </c>
      <c r="C576" t="s">
        <v>860</v>
      </c>
      <c r="D576" s="14">
        <v>35800</v>
      </c>
      <c r="E576" s="14">
        <v>35809</v>
      </c>
      <c r="F576" t="s">
        <v>855</v>
      </c>
      <c r="G576" s="10">
        <v>144.03399999999999</v>
      </c>
      <c r="H576" t="s">
        <v>52</v>
      </c>
    </row>
    <row r="577" spans="1:8" x14ac:dyDescent="0.45">
      <c r="A577">
        <v>10815</v>
      </c>
      <c r="B577" t="s">
        <v>504</v>
      </c>
      <c r="C577" t="s">
        <v>864</v>
      </c>
      <c r="D577" s="14">
        <v>35800</v>
      </c>
      <c r="E577" s="14">
        <v>35809</v>
      </c>
      <c r="F577" t="s">
        <v>855</v>
      </c>
      <c r="G577" s="10">
        <v>16.082000000000001</v>
      </c>
      <c r="H577" t="s">
        <v>231</v>
      </c>
    </row>
    <row r="578" spans="1:8" x14ac:dyDescent="0.45">
      <c r="A578">
        <v>10816</v>
      </c>
      <c r="B578" t="s">
        <v>225</v>
      </c>
      <c r="C578" t="s">
        <v>858</v>
      </c>
      <c r="D578" s="14">
        <v>35801</v>
      </c>
      <c r="E578" s="14">
        <v>35830</v>
      </c>
      <c r="F578" t="s">
        <v>859</v>
      </c>
      <c r="G578" s="10">
        <v>791.75800000000004</v>
      </c>
      <c r="H578" t="s">
        <v>231</v>
      </c>
    </row>
    <row r="579" spans="1:8" x14ac:dyDescent="0.45">
      <c r="A579">
        <v>10817</v>
      </c>
      <c r="B579" t="s">
        <v>282</v>
      </c>
      <c r="C579" t="s">
        <v>860</v>
      </c>
      <c r="D579" s="14">
        <v>35801</v>
      </c>
      <c r="E579" s="14">
        <v>35808</v>
      </c>
      <c r="F579" t="s">
        <v>859</v>
      </c>
      <c r="G579" s="10">
        <v>336.67700000000002</v>
      </c>
      <c r="H579" t="s">
        <v>7</v>
      </c>
    </row>
    <row r="580" spans="1:8" x14ac:dyDescent="0.45">
      <c r="A580">
        <v>10818</v>
      </c>
      <c r="B580" t="s">
        <v>356</v>
      </c>
      <c r="C580" t="s">
        <v>865</v>
      </c>
      <c r="D580" s="14">
        <v>35802</v>
      </c>
      <c r="E580" s="14">
        <v>35807</v>
      </c>
      <c r="F580" t="s">
        <v>855</v>
      </c>
      <c r="G580" s="10">
        <v>72.028000000000006</v>
      </c>
      <c r="H580" t="s">
        <v>193</v>
      </c>
    </row>
    <row r="581" spans="1:8" x14ac:dyDescent="0.45">
      <c r="A581">
        <v>10819</v>
      </c>
      <c r="B581" t="s">
        <v>85</v>
      </c>
      <c r="C581" t="s">
        <v>864</v>
      </c>
      <c r="D581" s="14">
        <v>35802</v>
      </c>
      <c r="E581" s="14">
        <v>35811</v>
      </c>
      <c r="F581" t="s">
        <v>855</v>
      </c>
      <c r="G581" s="10">
        <v>21.736000000000001</v>
      </c>
      <c r="H581" t="s">
        <v>90</v>
      </c>
    </row>
    <row r="582" spans="1:8" x14ac:dyDescent="0.45">
      <c r="A582">
        <v>10820</v>
      </c>
      <c r="B582" t="s">
        <v>462</v>
      </c>
      <c r="C582" t="s">
        <v>860</v>
      </c>
      <c r="D582" s="14">
        <v>35802</v>
      </c>
      <c r="E582" s="14">
        <v>35808</v>
      </c>
      <c r="F582" t="s">
        <v>859</v>
      </c>
      <c r="G582" s="10">
        <v>41.271999999999998</v>
      </c>
      <c r="H582" t="s">
        <v>231</v>
      </c>
    </row>
    <row r="583" spans="1:8" x14ac:dyDescent="0.45">
      <c r="A583">
        <v>10821</v>
      </c>
      <c r="B583" t="s">
        <v>532</v>
      </c>
      <c r="C583" t="s">
        <v>862</v>
      </c>
      <c r="D583" s="14">
        <v>35803</v>
      </c>
      <c r="E583" s="14">
        <v>35810</v>
      </c>
      <c r="F583" t="s">
        <v>857</v>
      </c>
      <c r="G583" s="10">
        <v>40.347999999999999</v>
      </c>
      <c r="H583" t="s">
        <v>231</v>
      </c>
    </row>
    <row r="584" spans="1:8" x14ac:dyDescent="0.45">
      <c r="A584">
        <v>10822</v>
      </c>
      <c r="B584" t="s">
        <v>579</v>
      </c>
      <c r="C584" t="s">
        <v>856</v>
      </c>
      <c r="D584" s="14">
        <v>35803</v>
      </c>
      <c r="E584" s="14">
        <v>35811</v>
      </c>
      <c r="F584" t="s">
        <v>855</v>
      </c>
      <c r="G584" s="10">
        <v>7.7</v>
      </c>
      <c r="H584" t="s">
        <v>231</v>
      </c>
    </row>
    <row r="585" spans="1:8" x14ac:dyDescent="0.45">
      <c r="A585">
        <v>10823</v>
      </c>
      <c r="B585" t="s">
        <v>333</v>
      </c>
      <c r="C585" t="s">
        <v>854</v>
      </c>
      <c r="D585" s="14">
        <v>35804</v>
      </c>
      <c r="E585" s="14">
        <v>35808</v>
      </c>
      <c r="F585" t="s">
        <v>859</v>
      </c>
      <c r="G585" s="10">
        <v>180.36699999999999</v>
      </c>
      <c r="H585" t="s">
        <v>240</v>
      </c>
    </row>
    <row r="586" spans="1:8" x14ac:dyDescent="0.45">
      <c r="A586">
        <v>10824</v>
      </c>
      <c r="B586" t="s">
        <v>169</v>
      </c>
      <c r="C586" t="s">
        <v>863</v>
      </c>
      <c r="D586" s="14">
        <v>35804</v>
      </c>
      <c r="E586" s="14">
        <v>35825</v>
      </c>
      <c r="F586" t="s">
        <v>857</v>
      </c>
      <c r="G586" s="10">
        <v>1.353</v>
      </c>
      <c r="H586" t="s">
        <v>37</v>
      </c>
    </row>
    <row r="587" spans="1:8" x14ac:dyDescent="0.45">
      <c r="A587">
        <v>10825</v>
      </c>
      <c r="B587" t="s">
        <v>122</v>
      </c>
      <c r="C587" t="s">
        <v>862</v>
      </c>
      <c r="D587" s="14">
        <v>35804</v>
      </c>
      <c r="E587" s="14">
        <v>35809</v>
      </c>
      <c r="F587" t="s">
        <v>857</v>
      </c>
      <c r="G587" s="10">
        <v>87.174999999999997</v>
      </c>
      <c r="H587" t="s">
        <v>7</v>
      </c>
    </row>
    <row r="588" spans="1:8" x14ac:dyDescent="0.45">
      <c r="A588">
        <v>10826</v>
      </c>
      <c r="B588" t="s">
        <v>47</v>
      </c>
      <c r="C588" t="s">
        <v>856</v>
      </c>
      <c r="D588" s="14">
        <v>35807</v>
      </c>
      <c r="E588" s="14">
        <v>35832</v>
      </c>
      <c r="F588" t="s">
        <v>857</v>
      </c>
      <c r="G588" s="10">
        <v>7.7990000000000004</v>
      </c>
      <c r="H588" t="s">
        <v>52</v>
      </c>
    </row>
    <row r="589" spans="1:8" x14ac:dyDescent="0.45">
      <c r="A589">
        <v>10827</v>
      </c>
      <c r="B589" t="s">
        <v>63</v>
      </c>
      <c r="C589" t="s">
        <v>862</v>
      </c>
      <c r="D589" s="14">
        <v>35807</v>
      </c>
      <c r="E589" s="14">
        <v>35832</v>
      </c>
      <c r="F589" t="s">
        <v>859</v>
      </c>
      <c r="G589" s="10">
        <v>69.894000000000005</v>
      </c>
      <c r="H589" t="s">
        <v>52</v>
      </c>
    </row>
    <row r="590" spans="1:8" x14ac:dyDescent="0.45">
      <c r="A590">
        <v>10828</v>
      </c>
      <c r="B590" t="s">
        <v>457</v>
      </c>
      <c r="C590" t="s">
        <v>861</v>
      </c>
      <c r="D590" s="14">
        <v>35808</v>
      </c>
      <c r="E590" s="14">
        <v>35830</v>
      </c>
      <c r="F590" t="s">
        <v>857</v>
      </c>
      <c r="G590" s="10">
        <v>99.935000000000002</v>
      </c>
      <c r="H590" t="s">
        <v>90</v>
      </c>
    </row>
    <row r="591" spans="1:8" x14ac:dyDescent="0.45">
      <c r="A591">
        <v>10829</v>
      </c>
      <c r="B591" t="s">
        <v>274</v>
      </c>
      <c r="C591" t="s">
        <v>861</v>
      </c>
      <c r="D591" s="14">
        <v>35808</v>
      </c>
      <c r="E591" s="14">
        <v>35818</v>
      </c>
      <c r="F591" t="s">
        <v>857</v>
      </c>
      <c r="G591" s="10">
        <v>170.19200000000001</v>
      </c>
      <c r="H591" t="s">
        <v>29</v>
      </c>
    </row>
    <row r="592" spans="1:8" x14ac:dyDescent="0.45">
      <c r="A592">
        <v>10830</v>
      </c>
      <c r="B592" t="s">
        <v>573</v>
      </c>
      <c r="C592" t="s">
        <v>858</v>
      </c>
      <c r="D592" s="14">
        <v>35808</v>
      </c>
      <c r="E592" s="14">
        <v>35816</v>
      </c>
      <c r="F592" t="s">
        <v>859</v>
      </c>
      <c r="G592" s="10">
        <v>90.013000000000005</v>
      </c>
      <c r="H592" t="s">
        <v>113</v>
      </c>
    </row>
    <row r="593" spans="1:8" x14ac:dyDescent="0.45">
      <c r="A593">
        <v>10831</v>
      </c>
      <c r="B593" t="s">
        <v>496</v>
      </c>
      <c r="C593" t="s">
        <v>860</v>
      </c>
      <c r="D593" s="14">
        <v>35809</v>
      </c>
      <c r="E593" s="14">
        <v>35818</v>
      </c>
      <c r="F593" t="s">
        <v>859</v>
      </c>
      <c r="G593" s="10">
        <v>79.409000000000006</v>
      </c>
      <c r="H593" t="s">
        <v>501</v>
      </c>
    </row>
    <row r="594" spans="1:8" x14ac:dyDescent="0.45">
      <c r="A594">
        <v>10832</v>
      </c>
      <c r="B594" t="s">
        <v>296</v>
      </c>
      <c r="C594" t="s">
        <v>864</v>
      </c>
      <c r="D594" s="14">
        <v>35809</v>
      </c>
      <c r="E594" s="14">
        <v>35814</v>
      </c>
      <c r="F594" t="s">
        <v>859</v>
      </c>
      <c r="G594" s="10">
        <v>47.585999999999999</v>
      </c>
      <c r="H594" t="s">
        <v>52</v>
      </c>
    </row>
    <row r="595" spans="1:8" x14ac:dyDescent="0.45">
      <c r="A595">
        <v>10833</v>
      </c>
      <c r="B595" t="s">
        <v>405</v>
      </c>
      <c r="C595" t="s">
        <v>856</v>
      </c>
      <c r="D595" s="14">
        <v>35810</v>
      </c>
      <c r="E595" s="14">
        <v>35818</v>
      </c>
      <c r="F595" t="s">
        <v>859</v>
      </c>
      <c r="G595" s="10">
        <v>78.638999999999996</v>
      </c>
      <c r="H595" t="s">
        <v>7</v>
      </c>
    </row>
    <row r="596" spans="1:8" x14ac:dyDescent="0.45">
      <c r="A596">
        <v>10834</v>
      </c>
      <c r="B596" t="s">
        <v>573</v>
      </c>
      <c r="C596" t="s">
        <v>862</v>
      </c>
      <c r="D596" s="14">
        <v>35810</v>
      </c>
      <c r="E596" s="14">
        <v>35814</v>
      </c>
      <c r="F596" t="s">
        <v>855</v>
      </c>
      <c r="G596" s="10">
        <v>32.758000000000003</v>
      </c>
      <c r="H596" t="s">
        <v>113</v>
      </c>
    </row>
    <row r="597" spans="1:8" x14ac:dyDescent="0.45">
      <c r="A597">
        <v>10835</v>
      </c>
      <c r="B597" t="s">
        <v>1</v>
      </c>
      <c r="C597" t="s">
        <v>862</v>
      </c>
      <c r="D597" s="14">
        <v>35810</v>
      </c>
      <c r="E597" s="14">
        <v>35816</v>
      </c>
      <c r="F597" t="s">
        <v>855</v>
      </c>
      <c r="G597" s="10">
        <v>76.483000000000004</v>
      </c>
      <c r="H597" t="s">
        <v>7</v>
      </c>
    </row>
    <row r="598" spans="1:8" x14ac:dyDescent="0.45">
      <c r="A598">
        <v>10836</v>
      </c>
      <c r="B598" t="s">
        <v>142</v>
      </c>
      <c r="C598" t="s">
        <v>865</v>
      </c>
      <c r="D598" s="14">
        <v>35811</v>
      </c>
      <c r="E598" s="14">
        <v>35816</v>
      </c>
      <c r="F598" t="s">
        <v>857</v>
      </c>
      <c r="G598" s="10">
        <v>453.06799999999998</v>
      </c>
      <c r="H598" t="s">
        <v>147</v>
      </c>
    </row>
    <row r="599" spans="1:8" x14ac:dyDescent="0.45">
      <c r="A599">
        <v>10837</v>
      </c>
      <c r="B599" t="s">
        <v>32</v>
      </c>
      <c r="C599" t="s">
        <v>861</v>
      </c>
      <c r="D599" s="14">
        <v>35811</v>
      </c>
      <c r="E599" s="14">
        <v>35818</v>
      </c>
      <c r="F599" t="s">
        <v>855</v>
      </c>
      <c r="G599" s="10">
        <v>14.651999999999999</v>
      </c>
      <c r="H599" t="s">
        <v>37</v>
      </c>
    </row>
    <row r="600" spans="1:8" x14ac:dyDescent="0.45">
      <c r="A600">
        <v>10838</v>
      </c>
      <c r="B600" t="s">
        <v>341</v>
      </c>
      <c r="C600" t="s">
        <v>860</v>
      </c>
      <c r="D600" s="14">
        <v>35814</v>
      </c>
      <c r="E600" s="14">
        <v>35818</v>
      </c>
      <c r="F600" t="s">
        <v>855</v>
      </c>
      <c r="G600" s="10">
        <v>65.207999999999998</v>
      </c>
      <c r="H600" t="s">
        <v>240</v>
      </c>
    </row>
    <row r="601" spans="1:8" x14ac:dyDescent="0.45">
      <c r="A601">
        <v>10839</v>
      </c>
      <c r="B601" t="s">
        <v>573</v>
      </c>
      <c r="C601" t="s">
        <v>860</v>
      </c>
      <c r="D601" s="14">
        <v>35814</v>
      </c>
      <c r="E601" s="14">
        <v>35817</v>
      </c>
      <c r="F601" t="s">
        <v>855</v>
      </c>
      <c r="G601" s="10">
        <v>38.972999999999999</v>
      </c>
      <c r="H601" t="s">
        <v>113</v>
      </c>
    </row>
    <row r="602" spans="1:8" x14ac:dyDescent="0.45">
      <c r="A602">
        <v>10840</v>
      </c>
      <c r="B602" t="s">
        <v>341</v>
      </c>
      <c r="C602" t="s">
        <v>858</v>
      </c>
      <c r="D602" s="14">
        <v>35814</v>
      </c>
      <c r="E602" s="14">
        <v>35842</v>
      </c>
      <c r="F602" t="s">
        <v>859</v>
      </c>
      <c r="G602" s="10">
        <v>2.9809999999999999</v>
      </c>
      <c r="H602" t="s">
        <v>240</v>
      </c>
    </row>
    <row r="603" spans="1:8" x14ac:dyDescent="0.45">
      <c r="A603">
        <v>10841</v>
      </c>
      <c r="B603" t="s">
        <v>540</v>
      </c>
      <c r="C603" t="s">
        <v>854</v>
      </c>
      <c r="D603" s="14">
        <v>35815</v>
      </c>
      <c r="E603" s="14">
        <v>35824</v>
      </c>
      <c r="F603" t="s">
        <v>859</v>
      </c>
      <c r="G603" s="10">
        <v>466.73</v>
      </c>
      <c r="H603" t="s">
        <v>368</v>
      </c>
    </row>
    <row r="604" spans="1:8" x14ac:dyDescent="0.45">
      <c r="A604">
        <v>10842</v>
      </c>
      <c r="B604" t="s">
        <v>568</v>
      </c>
      <c r="C604" t="s">
        <v>862</v>
      </c>
      <c r="D604" s="14">
        <v>35815</v>
      </c>
      <c r="E604" s="14">
        <v>35824</v>
      </c>
      <c r="F604" t="s">
        <v>855</v>
      </c>
      <c r="G604" s="10">
        <v>59.862000000000002</v>
      </c>
      <c r="H604" t="s">
        <v>15</v>
      </c>
    </row>
    <row r="605" spans="1:8" x14ac:dyDescent="0.45">
      <c r="A605">
        <v>10843</v>
      </c>
      <c r="B605" t="s">
        <v>593</v>
      </c>
      <c r="C605" t="s">
        <v>858</v>
      </c>
      <c r="D605" s="14">
        <v>35816</v>
      </c>
      <c r="E605" s="14">
        <v>35821</v>
      </c>
      <c r="F605" t="s">
        <v>859</v>
      </c>
      <c r="G605" s="10">
        <v>10.186</v>
      </c>
      <c r="H605" t="s">
        <v>52</v>
      </c>
    </row>
    <row r="606" spans="1:8" x14ac:dyDescent="0.45">
      <c r="A606">
        <v>10844</v>
      </c>
      <c r="B606" t="s">
        <v>425</v>
      </c>
      <c r="C606" t="s">
        <v>863</v>
      </c>
      <c r="D606" s="14">
        <v>35816</v>
      </c>
      <c r="E606" s="14">
        <v>35821</v>
      </c>
      <c r="F606" t="s">
        <v>859</v>
      </c>
      <c r="G606" s="10">
        <v>27.742000000000001</v>
      </c>
      <c r="H606" t="s">
        <v>147</v>
      </c>
    </row>
    <row r="607" spans="1:8" x14ac:dyDescent="0.45">
      <c r="A607">
        <v>10845</v>
      </c>
      <c r="B607" t="s">
        <v>450</v>
      </c>
      <c r="C607" t="s">
        <v>863</v>
      </c>
      <c r="D607" s="14">
        <v>35816</v>
      </c>
      <c r="E607" s="14">
        <v>35825</v>
      </c>
      <c r="F607" t="s">
        <v>857</v>
      </c>
      <c r="G607" s="10">
        <v>234.27799999999999</v>
      </c>
      <c r="H607" t="s">
        <v>7</v>
      </c>
    </row>
    <row r="608" spans="1:8" x14ac:dyDescent="0.45">
      <c r="A608">
        <v>10846</v>
      </c>
      <c r="B608" t="s">
        <v>540</v>
      </c>
      <c r="C608" t="s">
        <v>864</v>
      </c>
      <c r="D608" s="14">
        <v>35817</v>
      </c>
      <c r="E608" s="14">
        <v>35818</v>
      </c>
      <c r="F608" t="s">
        <v>855</v>
      </c>
      <c r="G608" s="10">
        <v>62.106000000000002</v>
      </c>
      <c r="H608" t="s">
        <v>368</v>
      </c>
    </row>
    <row r="609" spans="1:8" x14ac:dyDescent="0.45">
      <c r="A609">
        <v>10847</v>
      </c>
      <c r="B609" t="s">
        <v>504</v>
      </c>
      <c r="C609" t="s">
        <v>858</v>
      </c>
      <c r="D609" s="14">
        <v>35817</v>
      </c>
      <c r="E609" s="14">
        <v>35836</v>
      </c>
      <c r="F609" t="s">
        <v>855</v>
      </c>
      <c r="G609" s="10">
        <v>536.327</v>
      </c>
      <c r="H609" t="s">
        <v>231</v>
      </c>
    </row>
    <row r="610" spans="1:8" x14ac:dyDescent="0.45">
      <c r="A610">
        <v>10848</v>
      </c>
      <c r="B610" t="s">
        <v>116</v>
      </c>
      <c r="C610" t="s">
        <v>865</v>
      </c>
      <c r="D610" s="14">
        <v>35818</v>
      </c>
      <c r="E610" s="14">
        <v>35824</v>
      </c>
      <c r="F610" t="s">
        <v>859</v>
      </c>
      <c r="G610" s="10">
        <v>42.064</v>
      </c>
      <c r="H610" t="s">
        <v>29</v>
      </c>
    </row>
    <row r="611" spans="1:8" x14ac:dyDescent="0.45">
      <c r="A611">
        <v>10849</v>
      </c>
      <c r="B611" t="s">
        <v>282</v>
      </c>
      <c r="C611" t="s">
        <v>861</v>
      </c>
      <c r="D611" s="14">
        <v>35818</v>
      </c>
      <c r="E611" s="14">
        <v>35825</v>
      </c>
      <c r="F611" t="s">
        <v>859</v>
      </c>
      <c r="G611" s="10">
        <v>0.61599999999999999</v>
      </c>
      <c r="H611" t="s">
        <v>7</v>
      </c>
    </row>
    <row r="612" spans="1:8" x14ac:dyDescent="0.45">
      <c r="A612">
        <v>10850</v>
      </c>
      <c r="B612" t="s">
        <v>593</v>
      </c>
      <c r="C612" t="s">
        <v>862</v>
      </c>
      <c r="D612" s="14">
        <v>35818</v>
      </c>
      <c r="E612" s="14">
        <v>35825</v>
      </c>
      <c r="F612" t="s">
        <v>857</v>
      </c>
      <c r="G612" s="10">
        <v>54.109000000000002</v>
      </c>
      <c r="H612" t="s">
        <v>52</v>
      </c>
    </row>
    <row r="613" spans="1:8" x14ac:dyDescent="0.45">
      <c r="A613">
        <v>10851</v>
      </c>
      <c r="B613" t="s">
        <v>477</v>
      </c>
      <c r="C613" t="s">
        <v>854</v>
      </c>
      <c r="D613" s="14">
        <v>35821</v>
      </c>
      <c r="E613" s="14">
        <v>35828</v>
      </c>
      <c r="F613" t="s">
        <v>857</v>
      </c>
      <c r="G613" s="10">
        <v>176.60499999999999</v>
      </c>
      <c r="H613" t="s">
        <v>113</v>
      </c>
    </row>
    <row r="614" spans="1:8" x14ac:dyDescent="0.45">
      <c r="A614">
        <v>10852</v>
      </c>
      <c r="B614" t="s">
        <v>462</v>
      </c>
      <c r="C614" t="s">
        <v>863</v>
      </c>
      <c r="D614" s="14">
        <v>35821</v>
      </c>
      <c r="E614" s="14">
        <v>35825</v>
      </c>
      <c r="F614" t="s">
        <v>857</v>
      </c>
      <c r="G614" s="10">
        <v>191.45500000000001</v>
      </c>
      <c r="H614" t="s">
        <v>231</v>
      </c>
    </row>
    <row r="615" spans="1:8" x14ac:dyDescent="0.45">
      <c r="A615">
        <v>10853</v>
      </c>
      <c r="B615" t="s">
        <v>40</v>
      </c>
      <c r="C615" t="s">
        <v>861</v>
      </c>
      <c r="D615" s="14">
        <v>35822</v>
      </c>
      <c r="E615" s="14">
        <v>35829</v>
      </c>
      <c r="F615" t="s">
        <v>859</v>
      </c>
      <c r="G615" s="10">
        <v>59.213000000000001</v>
      </c>
      <c r="H615" t="s">
        <v>7</v>
      </c>
    </row>
    <row r="616" spans="1:8" x14ac:dyDescent="0.45">
      <c r="A616">
        <v>10854</v>
      </c>
      <c r="B616" t="s">
        <v>142</v>
      </c>
      <c r="C616" t="s">
        <v>860</v>
      </c>
      <c r="D616" s="14">
        <v>35822</v>
      </c>
      <c r="E616" s="14">
        <v>35831</v>
      </c>
      <c r="F616" t="s">
        <v>859</v>
      </c>
      <c r="G616" s="10">
        <v>110.242</v>
      </c>
      <c r="H616" t="s">
        <v>147</v>
      </c>
    </row>
    <row r="617" spans="1:8" x14ac:dyDescent="0.45">
      <c r="A617">
        <v>10855</v>
      </c>
      <c r="B617" t="s">
        <v>397</v>
      </c>
      <c r="C617" t="s">
        <v>860</v>
      </c>
      <c r="D617" s="14">
        <v>35822</v>
      </c>
      <c r="E617" s="14">
        <v>35830</v>
      </c>
      <c r="F617" t="s">
        <v>857</v>
      </c>
      <c r="G617" s="10">
        <v>188.06700000000001</v>
      </c>
      <c r="H617" t="s">
        <v>231</v>
      </c>
    </row>
    <row r="618" spans="1:8" x14ac:dyDescent="0.45">
      <c r="A618">
        <v>10856</v>
      </c>
      <c r="B618" t="s">
        <v>18</v>
      </c>
      <c r="C618" t="s">
        <v>860</v>
      </c>
      <c r="D618" s="14">
        <v>35823</v>
      </c>
      <c r="E618" s="14">
        <v>35836</v>
      </c>
      <c r="F618" t="s">
        <v>859</v>
      </c>
      <c r="G618" s="10">
        <v>64.272999999999996</v>
      </c>
      <c r="H618" t="s">
        <v>15</v>
      </c>
    </row>
    <row r="619" spans="1:8" x14ac:dyDescent="0.45">
      <c r="A619">
        <v>10857</v>
      </c>
      <c r="B619" t="s">
        <v>32</v>
      </c>
      <c r="C619" t="s">
        <v>863</v>
      </c>
      <c r="D619" s="14">
        <v>35823</v>
      </c>
      <c r="E619" s="14">
        <v>35832</v>
      </c>
      <c r="F619" t="s">
        <v>859</v>
      </c>
      <c r="G619" s="10">
        <v>207.73500000000001</v>
      </c>
      <c r="H619" t="s">
        <v>37</v>
      </c>
    </row>
    <row r="620" spans="1:8" x14ac:dyDescent="0.45">
      <c r="A620">
        <v>10858</v>
      </c>
      <c r="B620" t="s">
        <v>289</v>
      </c>
      <c r="C620" t="s">
        <v>864</v>
      </c>
      <c r="D620" s="14">
        <v>35824</v>
      </c>
      <c r="E620" s="14">
        <v>35829</v>
      </c>
      <c r="F620" t="s">
        <v>857</v>
      </c>
      <c r="G620" s="10">
        <v>57.761000000000003</v>
      </c>
      <c r="H620" t="s">
        <v>52</v>
      </c>
    </row>
    <row r="621" spans="1:8" x14ac:dyDescent="0.45">
      <c r="A621">
        <v>10859</v>
      </c>
      <c r="B621" t="s">
        <v>176</v>
      </c>
      <c r="C621" t="s">
        <v>862</v>
      </c>
      <c r="D621" s="14">
        <v>35824</v>
      </c>
      <c r="E621" s="14">
        <v>35828</v>
      </c>
      <c r="F621" t="s">
        <v>859</v>
      </c>
      <c r="G621" s="10">
        <v>83.71</v>
      </c>
      <c r="H621" t="s">
        <v>7</v>
      </c>
    </row>
    <row r="622" spans="1:8" x14ac:dyDescent="0.45">
      <c r="A622">
        <v>10860</v>
      </c>
      <c r="B622" t="s">
        <v>183</v>
      </c>
      <c r="C622" t="s">
        <v>860</v>
      </c>
      <c r="D622" s="14">
        <v>35824</v>
      </c>
      <c r="E622" s="14">
        <v>35830</v>
      </c>
      <c r="F622" t="s">
        <v>855</v>
      </c>
      <c r="G622" s="10">
        <v>21.186</v>
      </c>
      <c r="H622" t="s">
        <v>52</v>
      </c>
    </row>
    <row r="623" spans="1:8" x14ac:dyDescent="0.45">
      <c r="A623">
        <v>10861</v>
      </c>
      <c r="B623" t="s">
        <v>629</v>
      </c>
      <c r="C623" t="s">
        <v>858</v>
      </c>
      <c r="D623" s="14">
        <v>35825</v>
      </c>
      <c r="E623" s="14">
        <v>35843</v>
      </c>
      <c r="F623" t="s">
        <v>859</v>
      </c>
      <c r="G623" s="10">
        <v>16.422999999999998</v>
      </c>
      <c r="H623" t="s">
        <v>231</v>
      </c>
    </row>
    <row r="624" spans="1:8" x14ac:dyDescent="0.45">
      <c r="A624">
        <v>10862</v>
      </c>
      <c r="B624" t="s">
        <v>318</v>
      </c>
      <c r="C624" t="s">
        <v>863</v>
      </c>
      <c r="D624" s="14">
        <v>35825</v>
      </c>
      <c r="E624" s="14">
        <v>35828</v>
      </c>
      <c r="F624" t="s">
        <v>859</v>
      </c>
      <c r="G624" s="10">
        <v>58.552999999999997</v>
      </c>
      <c r="H624" t="s">
        <v>7</v>
      </c>
    </row>
    <row r="625" spans="1:8" x14ac:dyDescent="0.45">
      <c r="A625">
        <v>10863</v>
      </c>
      <c r="B625" t="s">
        <v>251</v>
      </c>
      <c r="C625" t="s">
        <v>858</v>
      </c>
      <c r="D625" s="14">
        <v>35828</v>
      </c>
      <c r="E625" s="14">
        <v>35843</v>
      </c>
      <c r="F625" t="s">
        <v>859</v>
      </c>
      <c r="G625" s="10">
        <v>33.286000000000001</v>
      </c>
      <c r="H625" t="s">
        <v>240</v>
      </c>
    </row>
    <row r="626" spans="1:8" x14ac:dyDescent="0.45">
      <c r="A626">
        <v>10864</v>
      </c>
      <c r="B626" t="s">
        <v>24</v>
      </c>
      <c r="C626" t="s">
        <v>858</v>
      </c>
      <c r="D626" s="14">
        <v>35828</v>
      </c>
      <c r="E626" s="14">
        <v>35835</v>
      </c>
      <c r="F626" t="s">
        <v>859</v>
      </c>
      <c r="G626" s="10">
        <v>3.3439999999999999</v>
      </c>
      <c r="H626" t="s">
        <v>29</v>
      </c>
    </row>
    <row r="627" spans="1:8" x14ac:dyDescent="0.45">
      <c r="A627">
        <v>10865</v>
      </c>
      <c r="B627" t="s">
        <v>450</v>
      </c>
      <c r="C627" t="s">
        <v>864</v>
      </c>
      <c r="D627" s="14">
        <v>35828</v>
      </c>
      <c r="E627" s="14">
        <v>35838</v>
      </c>
      <c r="F627" t="s">
        <v>857</v>
      </c>
      <c r="G627" s="10">
        <v>382.95400000000001</v>
      </c>
      <c r="H627" t="s">
        <v>7</v>
      </c>
    </row>
    <row r="628" spans="1:8" x14ac:dyDescent="0.45">
      <c r="A628">
        <v>10866</v>
      </c>
      <c r="B628" t="s">
        <v>32</v>
      </c>
      <c r="C628" t="s">
        <v>854</v>
      </c>
      <c r="D628" s="14">
        <v>35829</v>
      </c>
      <c r="E628" s="14">
        <v>35838</v>
      </c>
      <c r="F628" t="s">
        <v>857</v>
      </c>
      <c r="G628" s="10">
        <v>120.021</v>
      </c>
      <c r="H628" t="s">
        <v>37</v>
      </c>
    </row>
    <row r="629" spans="1:8" x14ac:dyDescent="0.45">
      <c r="A629">
        <v>10867</v>
      </c>
      <c r="B629" t="s">
        <v>349</v>
      </c>
      <c r="C629" t="s">
        <v>856</v>
      </c>
      <c r="D629" s="14">
        <v>35829</v>
      </c>
      <c r="E629" s="14">
        <v>35837</v>
      </c>
      <c r="F629" t="s">
        <v>857</v>
      </c>
      <c r="G629" s="10">
        <v>2.1230000000000002</v>
      </c>
      <c r="H629" t="s">
        <v>231</v>
      </c>
    </row>
    <row r="630" spans="1:8" x14ac:dyDescent="0.45">
      <c r="A630">
        <v>10868</v>
      </c>
      <c r="B630" t="s">
        <v>444</v>
      </c>
      <c r="C630" t="s">
        <v>865</v>
      </c>
      <c r="D630" s="14">
        <v>35830</v>
      </c>
      <c r="E630" s="14">
        <v>35849</v>
      </c>
      <c r="F630" t="s">
        <v>859</v>
      </c>
      <c r="G630" s="10">
        <v>210.39699999999999</v>
      </c>
      <c r="H630" t="s">
        <v>113</v>
      </c>
    </row>
    <row r="631" spans="1:8" x14ac:dyDescent="0.45">
      <c r="A631">
        <v>10869</v>
      </c>
      <c r="B631" t="s">
        <v>512</v>
      </c>
      <c r="C631" t="s">
        <v>854</v>
      </c>
      <c r="D631" s="14">
        <v>35830</v>
      </c>
      <c r="E631" s="14">
        <v>35835</v>
      </c>
      <c r="F631" t="s">
        <v>857</v>
      </c>
      <c r="G631" s="10">
        <v>157.608</v>
      </c>
      <c r="H631" t="s">
        <v>29</v>
      </c>
    </row>
    <row r="632" spans="1:8" x14ac:dyDescent="0.45">
      <c r="A632">
        <v>10870</v>
      </c>
      <c r="B632" t="s">
        <v>643</v>
      </c>
      <c r="C632" t="s">
        <v>854</v>
      </c>
      <c r="D632" s="14">
        <v>35830</v>
      </c>
      <c r="E632" s="14">
        <v>35839</v>
      </c>
      <c r="F632" t="s">
        <v>855</v>
      </c>
      <c r="G632" s="10">
        <v>13.244</v>
      </c>
      <c r="H632" t="s">
        <v>648</v>
      </c>
    </row>
    <row r="633" spans="1:8" x14ac:dyDescent="0.45">
      <c r="A633">
        <v>10871</v>
      </c>
      <c r="B633" t="s">
        <v>63</v>
      </c>
      <c r="C633" t="s">
        <v>861</v>
      </c>
      <c r="D633" s="14">
        <v>35831</v>
      </c>
      <c r="E633" s="14">
        <v>35836</v>
      </c>
      <c r="F633" t="s">
        <v>859</v>
      </c>
      <c r="G633" s="10">
        <v>123.497</v>
      </c>
      <c r="H633" t="s">
        <v>52</v>
      </c>
    </row>
    <row r="634" spans="1:8" x14ac:dyDescent="0.45">
      <c r="A634">
        <v>10872</v>
      </c>
      <c r="B634" t="s">
        <v>211</v>
      </c>
      <c r="C634" t="s">
        <v>854</v>
      </c>
      <c r="D634" s="14">
        <v>35831</v>
      </c>
      <c r="E634" s="14">
        <v>35835</v>
      </c>
      <c r="F634" t="s">
        <v>859</v>
      </c>
      <c r="G634" s="10">
        <v>192.852</v>
      </c>
      <c r="H634" t="s">
        <v>60</v>
      </c>
    </row>
    <row r="635" spans="1:8" x14ac:dyDescent="0.45">
      <c r="A635">
        <v>10873</v>
      </c>
      <c r="B635" t="s">
        <v>636</v>
      </c>
      <c r="C635" t="s">
        <v>858</v>
      </c>
      <c r="D635" s="14">
        <v>35832</v>
      </c>
      <c r="E635" s="14">
        <v>35835</v>
      </c>
      <c r="F635" t="s">
        <v>857</v>
      </c>
      <c r="G635" s="10">
        <v>0.90200000000000002</v>
      </c>
      <c r="H635" t="s">
        <v>619</v>
      </c>
    </row>
    <row r="636" spans="1:8" x14ac:dyDescent="0.45">
      <c r="A636">
        <v>10874</v>
      </c>
      <c r="B636" t="s">
        <v>211</v>
      </c>
      <c r="C636" t="s">
        <v>854</v>
      </c>
      <c r="D636" s="14">
        <v>35832</v>
      </c>
      <c r="E636" s="14">
        <v>35837</v>
      </c>
      <c r="F636" t="s">
        <v>859</v>
      </c>
      <c r="G636" s="10">
        <v>21.538</v>
      </c>
      <c r="H636" t="s">
        <v>60</v>
      </c>
    </row>
    <row r="637" spans="1:8" x14ac:dyDescent="0.45">
      <c r="A637">
        <v>10875</v>
      </c>
      <c r="B637" t="s">
        <v>32</v>
      </c>
      <c r="C637" t="s">
        <v>858</v>
      </c>
      <c r="D637" s="14">
        <v>35832</v>
      </c>
      <c r="E637" s="14">
        <v>35857</v>
      </c>
      <c r="F637" t="s">
        <v>859</v>
      </c>
      <c r="G637" s="10">
        <v>35.606999999999999</v>
      </c>
      <c r="H637" t="s">
        <v>37</v>
      </c>
    </row>
    <row r="638" spans="1:8" x14ac:dyDescent="0.45">
      <c r="A638">
        <v>10876</v>
      </c>
      <c r="B638" t="s">
        <v>63</v>
      </c>
      <c r="C638" t="s">
        <v>865</v>
      </c>
      <c r="D638" s="14">
        <v>35835</v>
      </c>
      <c r="E638" s="14">
        <v>35838</v>
      </c>
      <c r="F638" t="s">
        <v>855</v>
      </c>
      <c r="G638" s="10">
        <v>66.462000000000003</v>
      </c>
      <c r="H638" t="s">
        <v>52</v>
      </c>
    </row>
    <row r="639" spans="1:8" x14ac:dyDescent="0.45">
      <c r="A639">
        <v>10877</v>
      </c>
      <c r="B639" t="s">
        <v>477</v>
      </c>
      <c r="C639" t="s">
        <v>862</v>
      </c>
      <c r="D639" s="14">
        <v>35835</v>
      </c>
      <c r="E639" s="14">
        <v>35845</v>
      </c>
      <c r="F639" t="s">
        <v>857</v>
      </c>
      <c r="G639" s="10">
        <v>41.866</v>
      </c>
      <c r="H639" t="s">
        <v>113</v>
      </c>
    </row>
    <row r="640" spans="1:8" x14ac:dyDescent="0.45">
      <c r="A640">
        <v>10878</v>
      </c>
      <c r="B640" t="s">
        <v>450</v>
      </c>
      <c r="C640" t="s">
        <v>858</v>
      </c>
      <c r="D640" s="14">
        <v>35836</v>
      </c>
      <c r="E640" s="14">
        <v>35838</v>
      </c>
      <c r="F640" t="s">
        <v>857</v>
      </c>
      <c r="G640" s="10">
        <v>51.359000000000002</v>
      </c>
      <c r="H640" t="s">
        <v>7</v>
      </c>
    </row>
    <row r="641" spans="1:8" x14ac:dyDescent="0.45">
      <c r="A641">
        <v>10879</v>
      </c>
      <c r="B641" t="s">
        <v>636</v>
      </c>
      <c r="C641" t="s">
        <v>860</v>
      </c>
      <c r="D641" s="14">
        <v>35836</v>
      </c>
      <c r="E641" s="14">
        <v>35838</v>
      </c>
      <c r="F641" t="s">
        <v>855</v>
      </c>
      <c r="G641" s="10">
        <v>9.35</v>
      </c>
      <c r="H641" t="s">
        <v>619</v>
      </c>
    </row>
    <row r="642" spans="1:8" x14ac:dyDescent="0.45">
      <c r="A642">
        <v>10880</v>
      </c>
      <c r="B642" t="s">
        <v>169</v>
      </c>
      <c r="C642" t="s">
        <v>865</v>
      </c>
      <c r="D642" s="14">
        <v>35836</v>
      </c>
      <c r="E642" s="14">
        <v>35844</v>
      </c>
      <c r="F642" t="s">
        <v>857</v>
      </c>
      <c r="G642" s="10">
        <v>96.811000000000007</v>
      </c>
      <c r="H642" t="s">
        <v>37</v>
      </c>
    </row>
    <row r="643" spans="1:8" x14ac:dyDescent="0.45">
      <c r="A643">
        <v>10881</v>
      </c>
      <c r="B643" t="s">
        <v>85</v>
      </c>
      <c r="C643" t="s">
        <v>858</v>
      </c>
      <c r="D643" s="14">
        <v>35837</v>
      </c>
      <c r="E643" s="14">
        <v>35844</v>
      </c>
      <c r="F643" t="s">
        <v>857</v>
      </c>
      <c r="G643" s="10">
        <v>3.1240000000000001</v>
      </c>
      <c r="H643" t="s">
        <v>90</v>
      </c>
    </row>
    <row r="644" spans="1:8" x14ac:dyDescent="0.45">
      <c r="A644">
        <v>10882</v>
      </c>
      <c r="B644" t="s">
        <v>504</v>
      </c>
      <c r="C644" t="s">
        <v>858</v>
      </c>
      <c r="D644" s="14">
        <v>35837</v>
      </c>
      <c r="E644" s="14">
        <v>35846</v>
      </c>
      <c r="F644" t="s">
        <v>855</v>
      </c>
      <c r="G644" s="10">
        <v>25.41</v>
      </c>
      <c r="H644" t="s">
        <v>231</v>
      </c>
    </row>
    <row r="645" spans="1:8" x14ac:dyDescent="0.45">
      <c r="A645">
        <v>10883</v>
      </c>
      <c r="B645" t="s">
        <v>349</v>
      </c>
      <c r="C645" t="s">
        <v>863</v>
      </c>
      <c r="D645" s="14">
        <v>35838</v>
      </c>
      <c r="E645" s="14">
        <v>35846</v>
      </c>
      <c r="F645" t="s">
        <v>855</v>
      </c>
      <c r="G645" s="10">
        <v>0.58299999999999996</v>
      </c>
      <c r="H645" t="s">
        <v>231</v>
      </c>
    </row>
    <row r="646" spans="1:8" x14ac:dyDescent="0.45">
      <c r="A646">
        <v>10884</v>
      </c>
      <c r="B646" t="s">
        <v>325</v>
      </c>
      <c r="C646" t="s">
        <v>858</v>
      </c>
      <c r="D646" s="14">
        <v>35838</v>
      </c>
      <c r="E646" s="14">
        <v>35839</v>
      </c>
      <c r="F646" t="s">
        <v>859</v>
      </c>
      <c r="G646" s="10">
        <v>100.06699999999999</v>
      </c>
      <c r="H646" t="s">
        <v>231</v>
      </c>
    </row>
    <row r="647" spans="1:8" x14ac:dyDescent="0.45">
      <c r="A647">
        <v>10885</v>
      </c>
      <c r="B647" t="s">
        <v>540</v>
      </c>
      <c r="C647" t="s">
        <v>856</v>
      </c>
      <c r="D647" s="14">
        <v>35838</v>
      </c>
      <c r="E647" s="14">
        <v>35844</v>
      </c>
      <c r="F647" t="s">
        <v>855</v>
      </c>
      <c r="G647" s="10">
        <v>6.2039999999999997</v>
      </c>
      <c r="H647" t="s">
        <v>368</v>
      </c>
    </row>
    <row r="648" spans="1:8" x14ac:dyDescent="0.45">
      <c r="A648">
        <v>10886</v>
      </c>
      <c r="B648" t="s">
        <v>243</v>
      </c>
      <c r="C648" t="s">
        <v>862</v>
      </c>
      <c r="D648" s="14">
        <v>35839</v>
      </c>
      <c r="E648" s="14">
        <v>35856</v>
      </c>
      <c r="F648" t="s">
        <v>857</v>
      </c>
      <c r="G648" s="10">
        <v>5.4889999999999999</v>
      </c>
      <c r="H648" t="s">
        <v>113</v>
      </c>
    </row>
    <row r="649" spans="1:8" x14ac:dyDescent="0.45">
      <c r="A649">
        <v>10887</v>
      </c>
      <c r="B649" t="s">
        <v>204</v>
      </c>
      <c r="C649" t="s">
        <v>863</v>
      </c>
      <c r="D649" s="14">
        <v>35839</v>
      </c>
      <c r="E649" s="14">
        <v>35842</v>
      </c>
      <c r="F649" t="s">
        <v>855</v>
      </c>
      <c r="G649" s="10">
        <v>1.375</v>
      </c>
      <c r="H649" t="s">
        <v>60</v>
      </c>
    </row>
    <row r="650" spans="1:8" x14ac:dyDescent="0.45">
      <c r="A650">
        <v>10888</v>
      </c>
      <c r="B650" t="s">
        <v>211</v>
      </c>
      <c r="C650" t="s">
        <v>862</v>
      </c>
      <c r="D650" s="14">
        <v>35842</v>
      </c>
      <c r="E650" s="14">
        <v>35849</v>
      </c>
      <c r="F650" t="s">
        <v>859</v>
      </c>
      <c r="G650" s="10">
        <v>57.057000000000002</v>
      </c>
      <c r="H650" t="s">
        <v>60</v>
      </c>
    </row>
    <row r="651" spans="1:8" x14ac:dyDescent="0.45">
      <c r="A651">
        <v>10889</v>
      </c>
      <c r="B651" t="s">
        <v>462</v>
      </c>
      <c r="C651" t="s">
        <v>861</v>
      </c>
      <c r="D651" s="14">
        <v>35842</v>
      </c>
      <c r="E651" s="14">
        <v>35849</v>
      </c>
      <c r="F651" t="s">
        <v>855</v>
      </c>
      <c r="G651" s="10">
        <v>308.67099999999999</v>
      </c>
      <c r="H651" t="s">
        <v>231</v>
      </c>
    </row>
    <row r="652" spans="1:8" x14ac:dyDescent="0.45">
      <c r="A652">
        <v>10890</v>
      </c>
      <c r="B652" t="s">
        <v>129</v>
      </c>
      <c r="C652" t="s">
        <v>865</v>
      </c>
      <c r="D652" s="14">
        <v>35842</v>
      </c>
      <c r="E652" s="14">
        <v>35844</v>
      </c>
      <c r="F652" t="s">
        <v>857</v>
      </c>
      <c r="G652" s="10">
        <v>36.036000000000001</v>
      </c>
      <c r="H652" t="s">
        <v>52</v>
      </c>
    </row>
    <row r="653" spans="1:8" x14ac:dyDescent="0.45">
      <c r="A653">
        <v>10891</v>
      </c>
      <c r="B653" t="s">
        <v>318</v>
      </c>
      <c r="C653" t="s">
        <v>865</v>
      </c>
      <c r="D653" s="14">
        <v>35843</v>
      </c>
      <c r="E653" s="14">
        <v>35845</v>
      </c>
      <c r="F653" t="s">
        <v>859</v>
      </c>
      <c r="G653" s="10">
        <v>22.407</v>
      </c>
      <c r="H653" t="s">
        <v>7</v>
      </c>
    </row>
    <row r="654" spans="1:8" x14ac:dyDescent="0.45">
      <c r="A654">
        <v>10892</v>
      </c>
      <c r="B654" t="s">
        <v>363</v>
      </c>
      <c r="C654" t="s">
        <v>858</v>
      </c>
      <c r="D654" s="14">
        <v>35843</v>
      </c>
      <c r="E654" s="14">
        <v>35845</v>
      </c>
      <c r="F654" t="s">
        <v>859</v>
      </c>
      <c r="G654" s="10">
        <v>132.297</v>
      </c>
      <c r="H654" t="s">
        <v>368</v>
      </c>
    </row>
    <row r="655" spans="1:8" x14ac:dyDescent="0.45">
      <c r="A655">
        <v>10893</v>
      </c>
      <c r="B655" t="s">
        <v>282</v>
      </c>
      <c r="C655" t="s">
        <v>861</v>
      </c>
      <c r="D655" s="14">
        <v>35844</v>
      </c>
      <c r="E655" s="14">
        <v>35846</v>
      </c>
      <c r="F655" t="s">
        <v>859</v>
      </c>
      <c r="G655" s="10">
        <v>85.558000000000007</v>
      </c>
      <c r="H655" t="s">
        <v>7</v>
      </c>
    </row>
    <row r="656" spans="1:8" x14ac:dyDescent="0.45">
      <c r="A656">
        <v>10894</v>
      </c>
      <c r="B656" t="s">
        <v>504</v>
      </c>
      <c r="C656" t="s">
        <v>862</v>
      </c>
      <c r="D656" s="14">
        <v>35844</v>
      </c>
      <c r="E656" s="14">
        <v>35846</v>
      </c>
      <c r="F656" t="s">
        <v>857</v>
      </c>
      <c r="G656" s="10">
        <v>127.74299999999999</v>
      </c>
      <c r="H656" t="s">
        <v>231</v>
      </c>
    </row>
    <row r="657" spans="1:8" x14ac:dyDescent="0.45">
      <c r="A657">
        <v>10895</v>
      </c>
      <c r="B657" t="s">
        <v>142</v>
      </c>
      <c r="C657" t="s">
        <v>860</v>
      </c>
      <c r="D657" s="14">
        <v>35844</v>
      </c>
      <c r="E657" s="14">
        <v>35849</v>
      </c>
      <c r="F657" t="s">
        <v>857</v>
      </c>
      <c r="G657" s="10">
        <v>179.02500000000001</v>
      </c>
      <c r="H657" t="s">
        <v>147</v>
      </c>
    </row>
    <row r="658" spans="1:8" x14ac:dyDescent="0.45">
      <c r="A658">
        <v>10896</v>
      </c>
      <c r="B658" t="s">
        <v>363</v>
      </c>
      <c r="C658" t="s">
        <v>865</v>
      </c>
      <c r="D658" s="14">
        <v>35845</v>
      </c>
      <c r="E658" s="14">
        <v>35853</v>
      </c>
      <c r="F658" t="s">
        <v>855</v>
      </c>
      <c r="G658" s="10">
        <v>35.695</v>
      </c>
      <c r="H658" t="s">
        <v>368</v>
      </c>
    </row>
    <row r="659" spans="1:8" x14ac:dyDescent="0.45">
      <c r="A659">
        <v>10897</v>
      </c>
      <c r="B659" t="s">
        <v>266</v>
      </c>
      <c r="C659" t="s">
        <v>860</v>
      </c>
      <c r="D659" s="14">
        <v>35845</v>
      </c>
      <c r="E659" s="14">
        <v>35851</v>
      </c>
      <c r="F659" t="s">
        <v>859</v>
      </c>
      <c r="G659" s="10">
        <v>663.89400000000001</v>
      </c>
      <c r="H659" t="s">
        <v>271</v>
      </c>
    </row>
    <row r="660" spans="1:8" x14ac:dyDescent="0.45">
      <c r="A660">
        <v>10898</v>
      </c>
      <c r="B660" t="s">
        <v>392</v>
      </c>
      <c r="C660" t="s">
        <v>858</v>
      </c>
      <c r="D660" s="14">
        <v>35846</v>
      </c>
      <c r="E660" s="14">
        <v>35860</v>
      </c>
      <c r="F660" t="s">
        <v>859</v>
      </c>
      <c r="G660" s="10">
        <v>1.397</v>
      </c>
      <c r="H660" t="s">
        <v>90</v>
      </c>
    </row>
    <row r="661" spans="1:8" x14ac:dyDescent="0.45">
      <c r="A661">
        <v>10899</v>
      </c>
      <c r="B661" t="s">
        <v>333</v>
      </c>
      <c r="C661" t="s">
        <v>854</v>
      </c>
      <c r="D661" s="14">
        <v>35846</v>
      </c>
      <c r="E661" s="14">
        <v>35852</v>
      </c>
      <c r="F661" t="s">
        <v>855</v>
      </c>
      <c r="G661" s="10">
        <v>1.331</v>
      </c>
      <c r="H661" t="s">
        <v>240</v>
      </c>
    </row>
    <row r="662" spans="1:8" x14ac:dyDescent="0.45">
      <c r="A662">
        <v>10900</v>
      </c>
      <c r="B662" t="s">
        <v>622</v>
      </c>
      <c r="C662" t="s">
        <v>862</v>
      </c>
      <c r="D662" s="14">
        <v>35846</v>
      </c>
      <c r="E662" s="14">
        <v>35858</v>
      </c>
      <c r="F662" t="s">
        <v>859</v>
      </c>
      <c r="G662" s="10">
        <v>1.8260000000000001</v>
      </c>
      <c r="H662" t="s">
        <v>113</v>
      </c>
    </row>
    <row r="663" spans="1:8" x14ac:dyDescent="0.45">
      <c r="A663">
        <v>10901</v>
      </c>
      <c r="B663" t="s">
        <v>251</v>
      </c>
      <c r="C663" t="s">
        <v>858</v>
      </c>
      <c r="D663" s="14">
        <v>35849</v>
      </c>
      <c r="E663" s="14">
        <v>35852</v>
      </c>
      <c r="F663" t="s">
        <v>857</v>
      </c>
      <c r="G663" s="10">
        <v>68.299000000000007</v>
      </c>
      <c r="H663" t="s">
        <v>240</v>
      </c>
    </row>
    <row r="664" spans="1:8" x14ac:dyDescent="0.45">
      <c r="A664">
        <v>10902</v>
      </c>
      <c r="B664" t="s">
        <v>169</v>
      </c>
      <c r="C664" t="s">
        <v>862</v>
      </c>
      <c r="D664" s="14">
        <v>35849</v>
      </c>
      <c r="E664" s="14">
        <v>35857</v>
      </c>
      <c r="F664" t="s">
        <v>857</v>
      </c>
      <c r="G664" s="10">
        <v>48.564999999999998</v>
      </c>
      <c r="H664" t="s">
        <v>37</v>
      </c>
    </row>
    <row r="665" spans="1:8" x14ac:dyDescent="0.45">
      <c r="A665">
        <v>10903</v>
      </c>
      <c r="B665" t="s">
        <v>243</v>
      </c>
      <c r="C665" t="s">
        <v>860</v>
      </c>
      <c r="D665" s="14">
        <v>35850</v>
      </c>
      <c r="E665" s="14">
        <v>35858</v>
      </c>
      <c r="F665" t="s">
        <v>855</v>
      </c>
      <c r="G665" s="10">
        <v>40.381</v>
      </c>
      <c r="H665" t="s">
        <v>113</v>
      </c>
    </row>
    <row r="666" spans="1:8" x14ac:dyDescent="0.45">
      <c r="A666">
        <v>10904</v>
      </c>
      <c r="B666" t="s">
        <v>629</v>
      </c>
      <c r="C666" t="s">
        <v>860</v>
      </c>
      <c r="D666" s="14">
        <v>35850</v>
      </c>
      <c r="E666" s="14">
        <v>35853</v>
      </c>
      <c r="F666" t="s">
        <v>855</v>
      </c>
      <c r="G666" s="10">
        <v>179.245</v>
      </c>
      <c r="H666" t="s">
        <v>231</v>
      </c>
    </row>
    <row r="667" spans="1:8" x14ac:dyDescent="0.45">
      <c r="A667">
        <v>10905</v>
      </c>
      <c r="B667" t="s">
        <v>622</v>
      </c>
      <c r="C667" t="s">
        <v>861</v>
      </c>
      <c r="D667" s="14">
        <v>35850</v>
      </c>
      <c r="E667" s="14">
        <v>35860</v>
      </c>
      <c r="F667" t="s">
        <v>859</v>
      </c>
      <c r="G667" s="10">
        <v>15.092000000000001</v>
      </c>
      <c r="H667" t="s">
        <v>113</v>
      </c>
    </row>
    <row r="668" spans="1:8" x14ac:dyDescent="0.45">
      <c r="A668">
        <v>10906</v>
      </c>
      <c r="B668" t="s">
        <v>643</v>
      </c>
      <c r="C668" t="s">
        <v>858</v>
      </c>
      <c r="D668" s="14">
        <v>35851</v>
      </c>
      <c r="E668" s="14">
        <v>35857</v>
      </c>
      <c r="F668" t="s">
        <v>855</v>
      </c>
      <c r="G668" s="10">
        <v>28.919</v>
      </c>
      <c r="H668" t="s">
        <v>648</v>
      </c>
    </row>
    <row r="669" spans="1:8" x14ac:dyDescent="0.45">
      <c r="A669">
        <v>10907</v>
      </c>
      <c r="B669" t="s">
        <v>526</v>
      </c>
      <c r="C669" t="s">
        <v>856</v>
      </c>
      <c r="D669" s="14">
        <v>35851</v>
      </c>
      <c r="E669" s="14">
        <v>35853</v>
      </c>
      <c r="F669" t="s">
        <v>855</v>
      </c>
      <c r="G669" s="10">
        <v>10.109</v>
      </c>
      <c r="H669" t="s">
        <v>52</v>
      </c>
    </row>
    <row r="670" spans="1:8" x14ac:dyDescent="0.45">
      <c r="A670">
        <v>10908</v>
      </c>
      <c r="B670" t="s">
        <v>470</v>
      </c>
      <c r="C670" t="s">
        <v>858</v>
      </c>
      <c r="D670" s="14">
        <v>35852</v>
      </c>
      <c r="E670" s="14">
        <v>35860</v>
      </c>
      <c r="F670" t="s">
        <v>859</v>
      </c>
      <c r="G670" s="10">
        <v>36.256</v>
      </c>
      <c r="H670" t="s">
        <v>193</v>
      </c>
    </row>
    <row r="671" spans="1:8" x14ac:dyDescent="0.45">
      <c r="A671">
        <v>10909</v>
      </c>
      <c r="B671" t="s">
        <v>496</v>
      </c>
      <c r="C671" t="s">
        <v>862</v>
      </c>
      <c r="D671" s="14">
        <v>35852</v>
      </c>
      <c r="E671" s="14">
        <v>35864</v>
      </c>
      <c r="F671" t="s">
        <v>859</v>
      </c>
      <c r="G671" s="10">
        <v>58.354999999999997</v>
      </c>
      <c r="H671" t="s">
        <v>501</v>
      </c>
    </row>
    <row r="672" spans="1:8" x14ac:dyDescent="0.45">
      <c r="A672">
        <v>10910</v>
      </c>
      <c r="B672" t="s">
        <v>636</v>
      </c>
      <c r="C672" t="s">
        <v>862</v>
      </c>
      <c r="D672" s="14">
        <v>35852</v>
      </c>
      <c r="E672" s="14">
        <v>35858</v>
      </c>
      <c r="F672" t="s">
        <v>855</v>
      </c>
      <c r="G672" s="10">
        <v>41.920999999999999</v>
      </c>
      <c r="H672" t="s">
        <v>619</v>
      </c>
    </row>
    <row r="673" spans="1:8" x14ac:dyDescent="0.45">
      <c r="A673">
        <v>10911</v>
      </c>
      <c r="B673" t="s">
        <v>211</v>
      </c>
      <c r="C673" t="s">
        <v>860</v>
      </c>
      <c r="D673" s="14">
        <v>35852</v>
      </c>
      <c r="E673" s="14">
        <v>35859</v>
      </c>
      <c r="F673" t="s">
        <v>857</v>
      </c>
      <c r="G673" s="10">
        <v>42.009</v>
      </c>
      <c r="H673" t="s">
        <v>60</v>
      </c>
    </row>
    <row r="674" spans="1:8" x14ac:dyDescent="0.45">
      <c r="A674">
        <v>10912</v>
      </c>
      <c r="B674" t="s">
        <v>266</v>
      </c>
      <c r="C674" t="s">
        <v>864</v>
      </c>
      <c r="D674" s="14">
        <v>35852</v>
      </c>
      <c r="E674" s="14">
        <v>35872</v>
      </c>
      <c r="F674" t="s">
        <v>859</v>
      </c>
      <c r="G674" s="10">
        <v>639.00099999999998</v>
      </c>
      <c r="H674" t="s">
        <v>271</v>
      </c>
    </row>
    <row r="675" spans="1:8" x14ac:dyDescent="0.45">
      <c r="A675">
        <v>10913</v>
      </c>
      <c r="B675" t="s">
        <v>444</v>
      </c>
      <c r="C675" t="s">
        <v>858</v>
      </c>
      <c r="D675" s="14">
        <v>35852</v>
      </c>
      <c r="E675" s="14">
        <v>35858</v>
      </c>
      <c r="F675" t="s">
        <v>857</v>
      </c>
      <c r="G675" s="10">
        <v>36.354999999999997</v>
      </c>
      <c r="H675" t="s">
        <v>113</v>
      </c>
    </row>
    <row r="676" spans="1:8" x14ac:dyDescent="0.45">
      <c r="A676">
        <v>10914</v>
      </c>
      <c r="B676" t="s">
        <v>444</v>
      </c>
      <c r="C676" t="s">
        <v>856</v>
      </c>
      <c r="D676" s="14">
        <v>35853</v>
      </c>
      <c r="E676" s="14">
        <v>35856</v>
      </c>
      <c r="F676" t="s">
        <v>857</v>
      </c>
      <c r="G676" s="10">
        <v>23.309000000000001</v>
      </c>
      <c r="H676" t="s">
        <v>113</v>
      </c>
    </row>
    <row r="677" spans="1:8" x14ac:dyDescent="0.45">
      <c r="A677">
        <v>10915</v>
      </c>
      <c r="B677" t="s">
        <v>568</v>
      </c>
      <c r="C677" t="s">
        <v>864</v>
      </c>
      <c r="D677" s="14">
        <v>35853</v>
      </c>
      <c r="E677" s="14">
        <v>35856</v>
      </c>
      <c r="F677" t="s">
        <v>859</v>
      </c>
      <c r="G677" s="10">
        <v>3.8610000000000002</v>
      </c>
      <c r="H677" t="s">
        <v>15</v>
      </c>
    </row>
    <row r="678" spans="1:8" x14ac:dyDescent="0.45">
      <c r="A678">
        <v>10916</v>
      </c>
      <c r="B678" t="s">
        <v>457</v>
      </c>
      <c r="C678" t="s">
        <v>862</v>
      </c>
      <c r="D678" s="14">
        <v>35853</v>
      </c>
      <c r="E678" s="14">
        <v>35863</v>
      </c>
      <c r="F678" t="s">
        <v>859</v>
      </c>
      <c r="G678" s="10">
        <v>70.147000000000006</v>
      </c>
      <c r="H678" t="s">
        <v>90</v>
      </c>
    </row>
    <row r="679" spans="1:8" x14ac:dyDescent="0.45">
      <c r="A679">
        <v>10917</v>
      </c>
      <c r="B679" t="s">
        <v>490</v>
      </c>
      <c r="C679" t="s">
        <v>858</v>
      </c>
      <c r="D679" s="14">
        <v>35856</v>
      </c>
      <c r="E679" s="14">
        <v>35865</v>
      </c>
      <c r="F679" t="s">
        <v>859</v>
      </c>
      <c r="G679" s="10">
        <v>9.1189999999999998</v>
      </c>
      <c r="H679" t="s">
        <v>60</v>
      </c>
    </row>
    <row r="680" spans="1:8" x14ac:dyDescent="0.45">
      <c r="A680">
        <v>10918</v>
      </c>
      <c r="B680" t="s">
        <v>70</v>
      </c>
      <c r="C680" t="s">
        <v>860</v>
      </c>
      <c r="D680" s="14">
        <v>35856</v>
      </c>
      <c r="E680" s="14">
        <v>35865</v>
      </c>
      <c r="F680" t="s">
        <v>855</v>
      </c>
      <c r="G680" s="10">
        <v>53.713000000000001</v>
      </c>
      <c r="H680" t="s">
        <v>76</v>
      </c>
    </row>
    <row r="681" spans="1:8" x14ac:dyDescent="0.45">
      <c r="A681">
        <v>10919</v>
      </c>
      <c r="B681" t="s">
        <v>341</v>
      </c>
      <c r="C681" t="s">
        <v>864</v>
      </c>
      <c r="D681" s="14">
        <v>35856</v>
      </c>
      <c r="E681" s="14">
        <v>35858</v>
      </c>
      <c r="F681" t="s">
        <v>859</v>
      </c>
      <c r="G681" s="10">
        <v>21.78</v>
      </c>
      <c r="H681" t="s">
        <v>240</v>
      </c>
    </row>
    <row r="682" spans="1:8" x14ac:dyDescent="0.45">
      <c r="A682">
        <v>10920</v>
      </c>
      <c r="B682" t="s">
        <v>24</v>
      </c>
      <c r="C682" t="s">
        <v>858</v>
      </c>
      <c r="D682" s="14">
        <v>35857</v>
      </c>
      <c r="E682" s="14">
        <v>35863</v>
      </c>
      <c r="F682" t="s">
        <v>859</v>
      </c>
      <c r="G682" s="10">
        <v>32.570999999999998</v>
      </c>
      <c r="H682" t="s">
        <v>29</v>
      </c>
    </row>
    <row r="683" spans="1:8" x14ac:dyDescent="0.45">
      <c r="A683">
        <v>10921</v>
      </c>
      <c r="B683" t="s">
        <v>586</v>
      </c>
      <c r="C683" t="s">
        <v>862</v>
      </c>
      <c r="D683" s="14">
        <v>35857</v>
      </c>
      <c r="E683" s="14">
        <v>35863</v>
      </c>
      <c r="F683" t="s">
        <v>857</v>
      </c>
      <c r="G683" s="10">
        <v>194.12799999999999</v>
      </c>
      <c r="H683" t="s">
        <v>523</v>
      </c>
    </row>
    <row r="684" spans="1:8" x14ac:dyDescent="0.45">
      <c r="A684">
        <v>10922</v>
      </c>
      <c r="B684" t="s">
        <v>243</v>
      </c>
      <c r="C684" t="s">
        <v>854</v>
      </c>
      <c r="D684" s="14">
        <v>35857</v>
      </c>
      <c r="E684" s="14">
        <v>35859</v>
      </c>
      <c r="F684" t="s">
        <v>855</v>
      </c>
      <c r="G684" s="10">
        <v>69.013999999999996</v>
      </c>
      <c r="H684" t="s">
        <v>113</v>
      </c>
    </row>
    <row r="685" spans="1:8" x14ac:dyDescent="0.45">
      <c r="A685">
        <v>10923</v>
      </c>
      <c r="B685" t="s">
        <v>296</v>
      </c>
      <c r="C685" t="s">
        <v>865</v>
      </c>
      <c r="D685" s="14">
        <v>35857</v>
      </c>
      <c r="E685" s="14">
        <v>35867</v>
      </c>
      <c r="F685" t="s">
        <v>855</v>
      </c>
      <c r="G685" s="10">
        <v>75.085999999999999</v>
      </c>
      <c r="H685" t="s">
        <v>52</v>
      </c>
    </row>
    <row r="686" spans="1:8" x14ac:dyDescent="0.45">
      <c r="A686">
        <v>10924</v>
      </c>
      <c r="B686" t="s">
        <v>32</v>
      </c>
      <c r="C686" t="s">
        <v>860</v>
      </c>
      <c r="D686" s="14">
        <v>35858</v>
      </c>
      <c r="E686" s="14">
        <v>35893</v>
      </c>
      <c r="F686" t="s">
        <v>859</v>
      </c>
      <c r="G686" s="10">
        <v>166.672</v>
      </c>
      <c r="H686" t="s">
        <v>37</v>
      </c>
    </row>
    <row r="687" spans="1:8" x14ac:dyDescent="0.45">
      <c r="A687">
        <v>10925</v>
      </c>
      <c r="B687" t="s">
        <v>243</v>
      </c>
      <c r="C687" t="s">
        <v>860</v>
      </c>
      <c r="D687" s="14">
        <v>35858</v>
      </c>
      <c r="E687" s="14">
        <v>35867</v>
      </c>
      <c r="F687" t="s">
        <v>857</v>
      </c>
      <c r="G687" s="10">
        <v>2.4969999999999999</v>
      </c>
      <c r="H687" t="s">
        <v>113</v>
      </c>
    </row>
    <row r="688" spans="1:8" x14ac:dyDescent="0.45">
      <c r="A688">
        <v>10926</v>
      </c>
      <c r="B688" t="s">
        <v>10</v>
      </c>
      <c r="C688" t="s">
        <v>858</v>
      </c>
      <c r="D688" s="14">
        <v>35858</v>
      </c>
      <c r="E688" s="14">
        <v>35865</v>
      </c>
      <c r="F688" t="s">
        <v>855</v>
      </c>
      <c r="G688" s="10">
        <v>43.911999999999999</v>
      </c>
      <c r="H688" t="s">
        <v>15</v>
      </c>
    </row>
    <row r="689" spans="1:8" x14ac:dyDescent="0.45">
      <c r="A689">
        <v>10927</v>
      </c>
      <c r="B689" t="s">
        <v>289</v>
      </c>
      <c r="C689" t="s">
        <v>858</v>
      </c>
      <c r="D689" s="14">
        <v>35859</v>
      </c>
      <c r="E689" s="14">
        <v>35893</v>
      </c>
      <c r="F689" t="s">
        <v>857</v>
      </c>
      <c r="G689" s="10">
        <v>21.768999999999998</v>
      </c>
      <c r="H689" t="s">
        <v>52</v>
      </c>
    </row>
    <row r="690" spans="1:8" x14ac:dyDescent="0.45">
      <c r="A690">
        <v>10928</v>
      </c>
      <c r="B690" t="s">
        <v>204</v>
      </c>
      <c r="C690" t="s">
        <v>862</v>
      </c>
      <c r="D690" s="14">
        <v>35859</v>
      </c>
      <c r="E690" s="14">
        <v>35872</v>
      </c>
      <c r="F690" t="s">
        <v>857</v>
      </c>
      <c r="G690" s="10">
        <v>1.496</v>
      </c>
      <c r="H690" t="s">
        <v>60</v>
      </c>
    </row>
    <row r="691" spans="1:8" x14ac:dyDescent="0.45">
      <c r="A691">
        <v>10929</v>
      </c>
      <c r="B691" t="s">
        <v>176</v>
      </c>
      <c r="C691" t="s">
        <v>856</v>
      </c>
      <c r="D691" s="14">
        <v>35859</v>
      </c>
      <c r="E691" s="14">
        <v>35866</v>
      </c>
      <c r="F691" t="s">
        <v>857</v>
      </c>
      <c r="G691" s="10">
        <v>37.323</v>
      </c>
      <c r="H691" t="s">
        <v>7</v>
      </c>
    </row>
    <row r="692" spans="1:8" x14ac:dyDescent="0.45">
      <c r="A692">
        <v>10930</v>
      </c>
      <c r="B692" t="s">
        <v>540</v>
      </c>
      <c r="C692" t="s">
        <v>858</v>
      </c>
      <c r="D692" s="14">
        <v>35860</v>
      </c>
      <c r="E692" s="14">
        <v>35872</v>
      </c>
      <c r="F692" t="s">
        <v>855</v>
      </c>
      <c r="G692" s="10">
        <v>17.105</v>
      </c>
      <c r="H692" t="s">
        <v>368</v>
      </c>
    </row>
    <row r="693" spans="1:8" x14ac:dyDescent="0.45">
      <c r="A693">
        <v>10931</v>
      </c>
      <c r="B693" t="s">
        <v>483</v>
      </c>
      <c r="C693" t="s">
        <v>858</v>
      </c>
      <c r="D693" s="14">
        <v>35860</v>
      </c>
      <c r="E693" s="14">
        <v>35873</v>
      </c>
      <c r="F693" t="s">
        <v>859</v>
      </c>
      <c r="G693" s="10">
        <v>14.96</v>
      </c>
      <c r="H693" t="s">
        <v>104</v>
      </c>
    </row>
    <row r="694" spans="1:8" x14ac:dyDescent="0.45">
      <c r="A694">
        <v>10932</v>
      </c>
      <c r="B694" t="s">
        <v>63</v>
      </c>
      <c r="C694" t="s">
        <v>863</v>
      </c>
      <c r="D694" s="14">
        <v>35860</v>
      </c>
      <c r="E694" s="14">
        <v>35878</v>
      </c>
      <c r="F694" t="s">
        <v>857</v>
      </c>
      <c r="G694" s="10">
        <v>148.10400000000001</v>
      </c>
      <c r="H694" t="s">
        <v>52</v>
      </c>
    </row>
    <row r="695" spans="1:8" x14ac:dyDescent="0.45">
      <c r="A695">
        <v>10933</v>
      </c>
      <c r="B695" t="s">
        <v>274</v>
      </c>
      <c r="C695" t="s">
        <v>856</v>
      </c>
      <c r="D695" s="14">
        <v>35860</v>
      </c>
      <c r="E695" s="14">
        <v>35870</v>
      </c>
      <c r="F695" t="s">
        <v>855</v>
      </c>
      <c r="G695" s="10">
        <v>59.564999999999998</v>
      </c>
      <c r="H695" t="s">
        <v>29</v>
      </c>
    </row>
    <row r="696" spans="1:8" x14ac:dyDescent="0.45">
      <c r="A696">
        <v>10934</v>
      </c>
      <c r="B696" t="s">
        <v>318</v>
      </c>
      <c r="C696" t="s">
        <v>860</v>
      </c>
      <c r="D696" s="14">
        <v>35863</v>
      </c>
      <c r="E696" s="14">
        <v>35866</v>
      </c>
      <c r="F696" t="s">
        <v>855</v>
      </c>
      <c r="G696" s="10">
        <v>35.210999999999999</v>
      </c>
      <c r="H696" t="s">
        <v>7</v>
      </c>
    </row>
    <row r="697" spans="1:8" x14ac:dyDescent="0.45">
      <c r="A697">
        <v>10935</v>
      </c>
      <c r="B697" t="s">
        <v>622</v>
      </c>
      <c r="C697" t="s">
        <v>858</v>
      </c>
      <c r="D697" s="14">
        <v>35863</v>
      </c>
      <c r="E697" s="14">
        <v>35872</v>
      </c>
      <c r="F697" t="s">
        <v>855</v>
      </c>
      <c r="G697" s="10">
        <v>52.348999999999997</v>
      </c>
      <c r="H697" t="s">
        <v>113</v>
      </c>
    </row>
    <row r="698" spans="1:8" x14ac:dyDescent="0.45">
      <c r="A698">
        <v>10936</v>
      </c>
      <c r="B698" t="s">
        <v>225</v>
      </c>
      <c r="C698" t="s">
        <v>860</v>
      </c>
      <c r="D698" s="14">
        <v>35863</v>
      </c>
      <c r="E698" s="14">
        <v>35872</v>
      </c>
      <c r="F698" t="s">
        <v>859</v>
      </c>
      <c r="G698" s="10">
        <v>37.048000000000002</v>
      </c>
      <c r="H698" t="s">
        <v>231</v>
      </c>
    </row>
    <row r="699" spans="1:8" x14ac:dyDescent="0.45">
      <c r="A699">
        <v>10937</v>
      </c>
      <c r="B699" t="s">
        <v>85</v>
      </c>
      <c r="C699" t="s">
        <v>865</v>
      </c>
      <c r="D699" s="14">
        <v>35864</v>
      </c>
      <c r="E699" s="14">
        <v>35867</v>
      </c>
      <c r="F699" t="s">
        <v>855</v>
      </c>
      <c r="G699" s="10">
        <v>34.661000000000001</v>
      </c>
      <c r="H699" t="s">
        <v>90</v>
      </c>
    </row>
    <row r="700" spans="1:8" x14ac:dyDescent="0.45">
      <c r="A700">
        <v>10938</v>
      </c>
      <c r="B700" t="s">
        <v>450</v>
      </c>
      <c r="C700" t="s">
        <v>860</v>
      </c>
      <c r="D700" s="14">
        <v>35864</v>
      </c>
      <c r="E700" s="14">
        <v>35870</v>
      </c>
      <c r="F700" t="s">
        <v>859</v>
      </c>
      <c r="G700" s="10">
        <v>35.079000000000001</v>
      </c>
      <c r="H700" t="s">
        <v>7</v>
      </c>
    </row>
    <row r="701" spans="1:8" x14ac:dyDescent="0.45">
      <c r="A701">
        <v>10939</v>
      </c>
      <c r="B701" t="s">
        <v>356</v>
      </c>
      <c r="C701" t="s">
        <v>864</v>
      </c>
      <c r="D701" s="14">
        <v>35864</v>
      </c>
      <c r="E701" s="14">
        <v>35867</v>
      </c>
      <c r="F701" t="s">
        <v>859</v>
      </c>
      <c r="G701" s="10">
        <v>83.962999999999994</v>
      </c>
      <c r="H701" t="s">
        <v>193</v>
      </c>
    </row>
    <row r="702" spans="1:8" x14ac:dyDescent="0.45">
      <c r="A702">
        <v>10940</v>
      </c>
      <c r="B702" t="s">
        <v>63</v>
      </c>
      <c r="C702" t="s">
        <v>863</v>
      </c>
      <c r="D702" s="14">
        <v>35865</v>
      </c>
      <c r="E702" s="14">
        <v>35877</v>
      </c>
      <c r="F702" t="s">
        <v>855</v>
      </c>
      <c r="G702" s="10">
        <v>21.747</v>
      </c>
      <c r="H702" t="s">
        <v>52</v>
      </c>
    </row>
    <row r="703" spans="1:8" x14ac:dyDescent="0.45">
      <c r="A703">
        <v>10941</v>
      </c>
      <c r="B703" t="s">
        <v>504</v>
      </c>
      <c r="C703" t="s">
        <v>865</v>
      </c>
      <c r="D703" s="14">
        <v>35865</v>
      </c>
      <c r="E703" s="14">
        <v>35874</v>
      </c>
      <c r="F703" t="s">
        <v>859</v>
      </c>
      <c r="G703" s="10">
        <v>440.89100000000002</v>
      </c>
      <c r="H703" t="s">
        <v>231</v>
      </c>
    </row>
    <row r="704" spans="1:8" x14ac:dyDescent="0.45">
      <c r="A704">
        <v>10942</v>
      </c>
      <c r="B704" t="s">
        <v>470</v>
      </c>
      <c r="C704" t="s">
        <v>861</v>
      </c>
      <c r="D704" s="14">
        <v>35865</v>
      </c>
      <c r="E704" s="14">
        <v>35872</v>
      </c>
      <c r="F704" t="s">
        <v>855</v>
      </c>
      <c r="G704" s="10">
        <v>19.745000000000001</v>
      </c>
      <c r="H704" t="s">
        <v>193</v>
      </c>
    </row>
    <row r="705" spans="1:8" x14ac:dyDescent="0.45">
      <c r="A705">
        <v>10943</v>
      </c>
      <c r="B705" t="s">
        <v>79</v>
      </c>
      <c r="C705" t="s">
        <v>858</v>
      </c>
      <c r="D705" s="14">
        <v>35865</v>
      </c>
      <c r="E705" s="14">
        <v>35873</v>
      </c>
      <c r="F705" t="s">
        <v>859</v>
      </c>
      <c r="G705" s="10">
        <v>2.387</v>
      </c>
      <c r="H705" t="s">
        <v>29</v>
      </c>
    </row>
    <row r="706" spans="1:8" x14ac:dyDescent="0.45">
      <c r="A706">
        <v>10944</v>
      </c>
      <c r="B706" t="s">
        <v>70</v>
      </c>
      <c r="C706" t="s">
        <v>856</v>
      </c>
      <c r="D706" s="14">
        <v>35866</v>
      </c>
      <c r="E706" s="14">
        <v>35867</v>
      </c>
      <c r="F706" t="s">
        <v>855</v>
      </c>
      <c r="G706" s="10">
        <v>58.212000000000003</v>
      </c>
      <c r="H706" t="s">
        <v>76</v>
      </c>
    </row>
    <row r="707" spans="1:8" x14ac:dyDescent="0.45">
      <c r="A707">
        <v>10945</v>
      </c>
      <c r="B707" t="s">
        <v>379</v>
      </c>
      <c r="C707" t="s">
        <v>858</v>
      </c>
      <c r="D707" s="14">
        <v>35866</v>
      </c>
      <c r="E707" s="14">
        <v>35872</v>
      </c>
      <c r="F707" t="s">
        <v>857</v>
      </c>
      <c r="G707" s="10">
        <v>11.242000000000001</v>
      </c>
      <c r="H707" t="s">
        <v>7</v>
      </c>
    </row>
    <row r="708" spans="1:8" x14ac:dyDescent="0.45">
      <c r="A708">
        <v>10946</v>
      </c>
      <c r="B708" t="s">
        <v>586</v>
      </c>
      <c r="C708" t="s">
        <v>862</v>
      </c>
      <c r="D708" s="14">
        <v>35866</v>
      </c>
      <c r="E708" s="14">
        <v>35873</v>
      </c>
      <c r="F708" t="s">
        <v>859</v>
      </c>
      <c r="G708" s="10">
        <v>29.92</v>
      </c>
      <c r="H708" t="s">
        <v>523</v>
      </c>
    </row>
    <row r="709" spans="1:8" x14ac:dyDescent="0.45">
      <c r="A709">
        <v>10947</v>
      </c>
      <c r="B709" t="s">
        <v>79</v>
      </c>
      <c r="C709" t="s">
        <v>860</v>
      </c>
      <c r="D709" s="14">
        <v>35867</v>
      </c>
      <c r="E709" s="14">
        <v>35870</v>
      </c>
      <c r="F709" t="s">
        <v>859</v>
      </c>
      <c r="G709" s="10">
        <v>3.5859999999999999</v>
      </c>
      <c r="H709" t="s">
        <v>29</v>
      </c>
    </row>
    <row r="710" spans="1:8" x14ac:dyDescent="0.45">
      <c r="A710">
        <v>10948</v>
      </c>
      <c r="B710" t="s">
        <v>211</v>
      </c>
      <c r="C710" t="s">
        <v>860</v>
      </c>
      <c r="D710" s="14">
        <v>35867</v>
      </c>
      <c r="E710" s="14">
        <v>35873</v>
      </c>
      <c r="F710" t="s">
        <v>855</v>
      </c>
      <c r="G710" s="10">
        <v>25.728999999999999</v>
      </c>
      <c r="H710" t="s">
        <v>60</v>
      </c>
    </row>
    <row r="711" spans="1:8" x14ac:dyDescent="0.45">
      <c r="A711">
        <v>10949</v>
      </c>
      <c r="B711" t="s">
        <v>70</v>
      </c>
      <c r="C711" t="s">
        <v>864</v>
      </c>
      <c r="D711" s="14">
        <v>35867</v>
      </c>
      <c r="E711" s="14">
        <v>35871</v>
      </c>
      <c r="F711" t="s">
        <v>855</v>
      </c>
      <c r="G711" s="10">
        <v>81.884</v>
      </c>
      <c r="H711" t="s">
        <v>76</v>
      </c>
    </row>
    <row r="712" spans="1:8" x14ac:dyDescent="0.45">
      <c r="A712">
        <v>10950</v>
      </c>
      <c r="B712" t="s">
        <v>356</v>
      </c>
      <c r="C712" t="s">
        <v>862</v>
      </c>
      <c r="D712" s="14">
        <v>35870</v>
      </c>
      <c r="E712" s="14">
        <v>35877</v>
      </c>
      <c r="F712" t="s">
        <v>859</v>
      </c>
      <c r="G712" s="10">
        <v>2.75</v>
      </c>
      <c r="H712" t="s">
        <v>193</v>
      </c>
    </row>
    <row r="713" spans="1:8" x14ac:dyDescent="0.45">
      <c r="A713">
        <v>10951</v>
      </c>
      <c r="B713" t="s">
        <v>483</v>
      </c>
      <c r="C713" t="s">
        <v>861</v>
      </c>
      <c r="D713" s="14">
        <v>35870</v>
      </c>
      <c r="E713" s="14">
        <v>35892</v>
      </c>
      <c r="F713" t="s">
        <v>859</v>
      </c>
      <c r="G713" s="10">
        <v>33.935000000000002</v>
      </c>
      <c r="H713" t="s">
        <v>104</v>
      </c>
    </row>
    <row r="714" spans="1:8" x14ac:dyDescent="0.45">
      <c r="A714">
        <v>10952</v>
      </c>
      <c r="B714" t="s">
        <v>1</v>
      </c>
      <c r="C714" t="s">
        <v>862</v>
      </c>
      <c r="D714" s="14">
        <v>35870</v>
      </c>
      <c r="E714" s="14">
        <v>35878</v>
      </c>
      <c r="F714" t="s">
        <v>857</v>
      </c>
      <c r="G714" s="10">
        <v>44.462000000000003</v>
      </c>
      <c r="H714" t="s">
        <v>7</v>
      </c>
    </row>
    <row r="715" spans="1:8" x14ac:dyDescent="0.45">
      <c r="A715">
        <v>10953</v>
      </c>
      <c r="B715" t="s">
        <v>24</v>
      </c>
      <c r="C715" t="s">
        <v>861</v>
      </c>
      <c r="D715" s="14">
        <v>35870</v>
      </c>
      <c r="E715" s="14">
        <v>35879</v>
      </c>
      <c r="F715" t="s">
        <v>859</v>
      </c>
      <c r="G715" s="10">
        <v>26.091999999999999</v>
      </c>
      <c r="H715" t="s">
        <v>29</v>
      </c>
    </row>
    <row r="716" spans="1:8" x14ac:dyDescent="0.45">
      <c r="A716">
        <v>10954</v>
      </c>
      <c r="B716" t="s">
        <v>341</v>
      </c>
      <c r="C716" t="s">
        <v>854</v>
      </c>
      <c r="D716" s="14">
        <v>35871</v>
      </c>
      <c r="E716" s="14">
        <v>35874</v>
      </c>
      <c r="F716" t="s">
        <v>857</v>
      </c>
      <c r="G716" s="10">
        <v>30.701000000000001</v>
      </c>
      <c r="H716" t="s">
        <v>240</v>
      </c>
    </row>
    <row r="717" spans="1:8" x14ac:dyDescent="0.45">
      <c r="A717">
        <v>10955</v>
      </c>
      <c r="B717" t="s">
        <v>169</v>
      </c>
      <c r="C717" t="s">
        <v>863</v>
      </c>
      <c r="D717" s="14">
        <v>35871</v>
      </c>
      <c r="E717" s="14">
        <v>35874</v>
      </c>
      <c r="F717" t="s">
        <v>859</v>
      </c>
      <c r="G717" s="10">
        <v>3.5859999999999999</v>
      </c>
      <c r="H717" t="s">
        <v>37</v>
      </c>
    </row>
    <row r="718" spans="1:8" x14ac:dyDescent="0.45">
      <c r="A718">
        <v>10956</v>
      </c>
      <c r="B718" t="s">
        <v>40</v>
      </c>
      <c r="C718" t="s">
        <v>856</v>
      </c>
      <c r="D718" s="14">
        <v>35871</v>
      </c>
      <c r="E718" s="14">
        <v>35874</v>
      </c>
      <c r="F718" t="s">
        <v>859</v>
      </c>
      <c r="G718" s="10">
        <v>49.115000000000002</v>
      </c>
      <c r="H718" t="s">
        <v>7</v>
      </c>
    </row>
    <row r="719" spans="1:8" x14ac:dyDescent="0.45">
      <c r="A719">
        <v>10957</v>
      </c>
      <c r="B719" t="s">
        <v>251</v>
      </c>
      <c r="C719" t="s">
        <v>863</v>
      </c>
      <c r="D719" s="14">
        <v>35872</v>
      </c>
      <c r="E719" s="14">
        <v>35881</v>
      </c>
      <c r="F719" t="s">
        <v>855</v>
      </c>
      <c r="G719" s="10">
        <v>115.896</v>
      </c>
      <c r="H719" t="s">
        <v>240</v>
      </c>
    </row>
    <row r="720" spans="1:8" x14ac:dyDescent="0.45">
      <c r="A720">
        <v>10958</v>
      </c>
      <c r="B720" t="s">
        <v>392</v>
      </c>
      <c r="C720" t="s">
        <v>865</v>
      </c>
      <c r="D720" s="14">
        <v>35872</v>
      </c>
      <c r="E720" s="14">
        <v>35881</v>
      </c>
      <c r="F720" t="s">
        <v>859</v>
      </c>
      <c r="G720" s="10">
        <v>54.515999999999998</v>
      </c>
      <c r="H720" t="s">
        <v>90</v>
      </c>
    </row>
    <row r="721" spans="1:8" x14ac:dyDescent="0.45">
      <c r="A721">
        <v>10959</v>
      </c>
      <c r="B721" t="s">
        <v>218</v>
      </c>
      <c r="C721" t="s">
        <v>856</v>
      </c>
      <c r="D721" s="14">
        <v>35872</v>
      </c>
      <c r="E721" s="14">
        <v>35877</v>
      </c>
      <c r="F721" t="s">
        <v>859</v>
      </c>
      <c r="G721" s="10">
        <v>5.4779999999999998</v>
      </c>
      <c r="H721" t="s">
        <v>113</v>
      </c>
    </row>
    <row r="722" spans="1:8" x14ac:dyDescent="0.45">
      <c r="A722">
        <v>10960</v>
      </c>
      <c r="B722" t="s">
        <v>251</v>
      </c>
      <c r="C722" t="s">
        <v>860</v>
      </c>
      <c r="D722" s="14">
        <v>35873</v>
      </c>
      <c r="E722" s="14">
        <v>35893</v>
      </c>
      <c r="F722" t="s">
        <v>857</v>
      </c>
      <c r="G722" s="10">
        <v>2.2879999999999998</v>
      </c>
      <c r="H722" t="s">
        <v>240</v>
      </c>
    </row>
    <row r="723" spans="1:8" x14ac:dyDescent="0.45">
      <c r="A723">
        <v>10961</v>
      </c>
      <c r="B723" t="s">
        <v>444</v>
      </c>
      <c r="C723" t="s">
        <v>863</v>
      </c>
      <c r="D723" s="14">
        <v>35873</v>
      </c>
      <c r="E723" s="14">
        <v>35884</v>
      </c>
      <c r="F723" t="s">
        <v>857</v>
      </c>
      <c r="G723" s="10">
        <v>114.917</v>
      </c>
      <c r="H723" t="s">
        <v>113</v>
      </c>
    </row>
    <row r="724" spans="1:8" x14ac:dyDescent="0.45">
      <c r="A724">
        <v>10962</v>
      </c>
      <c r="B724" t="s">
        <v>450</v>
      </c>
      <c r="C724" t="s">
        <v>863</v>
      </c>
      <c r="D724" s="14">
        <v>35873</v>
      </c>
      <c r="E724" s="14">
        <v>35877</v>
      </c>
      <c r="F724" t="s">
        <v>859</v>
      </c>
      <c r="G724" s="10">
        <v>303.36900000000003</v>
      </c>
      <c r="H724" t="s">
        <v>7</v>
      </c>
    </row>
    <row r="725" spans="1:8" x14ac:dyDescent="0.45">
      <c r="A725">
        <v>10963</v>
      </c>
      <c r="B725" t="s">
        <v>196</v>
      </c>
      <c r="C725" t="s">
        <v>861</v>
      </c>
      <c r="D725" s="14">
        <v>35873</v>
      </c>
      <c r="E725" s="14">
        <v>35880</v>
      </c>
      <c r="F725" t="s">
        <v>855</v>
      </c>
      <c r="G725" s="10">
        <v>2.97</v>
      </c>
      <c r="H725" t="s">
        <v>201</v>
      </c>
    </row>
    <row r="726" spans="1:8" x14ac:dyDescent="0.45">
      <c r="A726">
        <v>10964</v>
      </c>
      <c r="B726" t="s">
        <v>526</v>
      </c>
      <c r="C726" t="s">
        <v>860</v>
      </c>
      <c r="D726" s="14">
        <v>35874</v>
      </c>
      <c r="E726" s="14">
        <v>35878</v>
      </c>
      <c r="F726" t="s">
        <v>859</v>
      </c>
      <c r="G726" s="10">
        <v>96.117999999999995</v>
      </c>
      <c r="H726" t="s">
        <v>52</v>
      </c>
    </row>
    <row r="727" spans="1:8" x14ac:dyDescent="0.45">
      <c r="A727">
        <v>10965</v>
      </c>
      <c r="B727" t="s">
        <v>397</v>
      </c>
      <c r="C727" t="s">
        <v>856</v>
      </c>
      <c r="D727" s="14">
        <v>35874</v>
      </c>
      <c r="E727" s="14">
        <v>35884</v>
      </c>
      <c r="F727" t="s">
        <v>855</v>
      </c>
      <c r="G727" s="10">
        <v>158.81800000000001</v>
      </c>
      <c r="H727" t="s">
        <v>231</v>
      </c>
    </row>
    <row r="728" spans="1:8" x14ac:dyDescent="0.45">
      <c r="A728">
        <v>10966</v>
      </c>
      <c r="B728" t="s">
        <v>99</v>
      </c>
      <c r="C728" t="s">
        <v>858</v>
      </c>
      <c r="D728" s="14">
        <v>35874</v>
      </c>
      <c r="E728" s="14">
        <v>35893</v>
      </c>
      <c r="F728" t="s">
        <v>857</v>
      </c>
      <c r="G728" s="10">
        <v>29.908999999999999</v>
      </c>
      <c r="H728" t="s">
        <v>104</v>
      </c>
    </row>
    <row r="729" spans="1:8" x14ac:dyDescent="0.45">
      <c r="A729">
        <v>10967</v>
      </c>
      <c r="B729" t="s">
        <v>561</v>
      </c>
      <c r="C729" t="s">
        <v>864</v>
      </c>
      <c r="D729" s="14">
        <v>35877</v>
      </c>
      <c r="E729" s="14">
        <v>35887</v>
      </c>
      <c r="F729" t="s">
        <v>859</v>
      </c>
      <c r="G729" s="10">
        <v>68.441999999999993</v>
      </c>
      <c r="H729" t="s">
        <v>7</v>
      </c>
    </row>
    <row r="730" spans="1:8" x14ac:dyDescent="0.45">
      <c r="A730">
        <v>10968</v>
      </c>
      <c r="B730" t="s">
        <v>142</v>
      </c>
      <c r="C730" t="s">
        <v>862</v>
      </c>
      <c r="D730" s="14">
        <v>35877</v>
      </c>
      <c r="E730" s="14">
        <v>35886</v>
      </c>
      <c r="F730" t="s">
        <v>855</v>
      </c>
      <c r="G730" s="10">
        <v>82.06</v>
      </c>
      <c r="H730" t="s">
        <v>147</v>
      </c>
    </row>
    <row r="731" spans="1:8" x14ac:dyDescent="0.45">
      <c r="A731">
        <v>10969</v>
      </c>
      <c r="B731" t="s">
        <v>107</v>
      </c>
      <c r="C731" t="s">
        <v>862</v>
      </c>
      <c r="D731" s="14">
        <v>35877</v>
      </c>
      <c r="E731" s="14">
        <v>35884</v>
      </c>
      <c r="F731" t="s">
        <v>859</v>
      </c>
      <c r="G731" s="10">
        <v>0.23100000000000001</v>
      </c>
      <c r="H731" t="s">
        <v>113</v>
      </c>
    </row>
    <row r="732" spans="1:8" x14ac:dyDescent="0.45">
      <c r="A732">
        <v>10970</v>
      </c>
      <c r="B732" t="s">
        <v>55</v>
      </c>
      <c r="C732" t="s">
        <v>861</v>
      </c>
      <c r="D732" s="14">
        <v>35878</v>
      </c>
      <c r="E732" s="14">
        <v>35909</v>
      </c>
      <c r="F732" t="s">
        <v>857</v>
      </c>
      <c r="G732" s="10">
        <v>17.776</v>
      </c>
      <c r="H732" t="s">
        <v>60</v>
      </c>
    </row>
    <row r="733" spans="1:8" x14ac:dyDescent="0.45">
      <c r="A733">
        <v>10971</v>
      </c>
      <c r="B733" t="s">
        <v>183</v>
      </c>
      <c r="C733" t="s">
        <v>864</v>
      </c>
      <c r="D733" s="14">
        <v>35878</v>
      </c>
      <c r="E733" s="14">
        <v>35887</v>
      </c>
      <c r="F733" t="s">
        <v>859</v>
      </c>
      <c r="G733" s="10">
        <v>134.00200000000001</v>
      </c>
      <c r="H733" t="s">
        <v>52</v>
      </c>
    </row>
    <row r="734" spans="1:8" x14ac:dyDescent="0.45">
      <c r="A734">
        <v>10972</v>
      </c>
      <c r="B734" t="s">
        <v>289</v>
      </c>
      <c r="C734" t="s">
        <v>858</v>
      </c>
      <c r="D734" s="14">
        <v>35878</v>
      </c>
      <c r="E734" s="14">
        <v>35880</v>
      </c>
      <c r="F734" t="s">
        <v>859</v>
      </c>
      <c r="G734" s="10">
        <v>2.1999999999999999E-2</v>
      </c>
      <c r="H734" t="s">
        <v>52</v>
      </c>
    </row>
    <row r="735" spans="1:8" x14ac:dyDescent="0.45">
      <c r="A735">
        <v>10973</v>
      </c>
      <c r="B735" t="s">
        <v>289</v>
      </c>
      <c r="C735" t="s">
        <v>856</v>
      </c>
      <c r="D735" s="14">
        <v>35878</v>
      </c>
      <c r="E735" s="14">
        <v>35881</v>
      </c>
      <c r="F735" t="s">
        <v>859</v>
      </c>
      <c r="G735" s="10">
        <v>16.687000000000001</v>
      </c>
      <c r="H735" t="s">
        <v>52</v>
      </c>
    </row>
    <row r="736" spans="1:8" x14ac:dyDescent="0.45">
      <c r="A736">
        <v>10974</v>
      </c>
      <c r="B736" t="s">
        <v>532</v>
      </c>
      <c r="C736" t="s">
        <v>860</v>
      </c>
      <c r="D736" s="14">
        <v>35879</v>
      </c>
      <c r="E736" s="14">
        <v>35888</v>
      </c>
      <c r="F736" t="s">
        <v>855</v>
      </c>
      <c r="G736" s="10">
        <v>14.256</v>
      </c>
      <c r="H736" t="s">
        <v>231</v>
      </c>
    </row>
    <row r="737" spans="1:8" x14ac:dyDescent="0.45">
      <c r="A737">
        <v>10975</v>
      </c>
      <c r="B737" t="s">
        <v>70</v>
      </c>
      <c r="C737" t="s">
        <v>862</v>
      </c>
      <c r="D737" s="14">
        <v>35879</v>
      </c>
      <c r="E737" s="14">
        <v>35881</v>
      </c>
      <c r="F737" t="s">
        <v>855</v>
      </c>
      <c r="G737" s="10">
        <v>35.497</v>
      </c>
      <c r="H737" t="s">
        <v>76</v>
      </c>
    </row>
    <row r="738" spans="1:8" x14ac:dyDescent="0.45">
      <c r="A738">
        <v>10976</v>
      </c>
      <c r="B738" t="s">
        <v>251</v>
      </c>
      <c r="C738" t="s">
        <v>862</v>
      </c>
      <c r="D738" s="14">
        <v>35879</v>
      </c>
      <c r="E738" s="14">
        <v>35888</v>
      </c>
      <c r="F738" t="s">
        <v>857</v>
      </c>
      <c r="G738" s="10">
        <v>41.767000000000003</v>
      </c>
      <c r="H738" t="s">
        <v>240</v>
      </c>
    </row>
    <row r="739" spans="1:8" x14ac:dyDescent="0.45">
      <c r="A739">
        <v>10977</v>
      </c>
      <c r="B739" t="s">
        <v>169</v>
      </c>
      <c r="C739" t="s">
        <v>863</v>
      </c>
      <c r="D739" s="14">
        <v>35880</v>
      </c>
      <c r="E739" s="14">
        <v>35895</v>
      </c>
      <c r="F739" t="s">
        <v>855</v>
      </c>
      <c r="G739" s="10">
        <v>229.35</v>
      </c>
      <c r="H739" t="s">
        <v>37</v>
      </c>
    </row>
    <row r="740" spans="1:8" x14ac:dyDescent="0.45">
      <c r="A740">
        <v>10978</v>
      </c>
      <c r="B740" t="s">
        <v>363</v>
      </c>
      <c r="C740" t="s">
        <v>861</v>
      </c>
      <c r="D740" s="14">
        <v>35880</v>
      </c>
      <c r="E740" s="14">
        <v>35908</v>
      </c>
      <c r="F740" t="s">
        <v>859</v>
      </c>
      <c r="G740" s="10">
        <v>36.101999999999997</v>
      </c>
      <c r="H740" t="s">
        <v>368</v>
      </c>
    </row>
    <row r="741" spans="1:8" x14ac:dyDescent="0.45">
      <c r="A741">
        <v>10979</v>
      </c>
      <c r="B741" t="s">
        <v>142</v>
      </c>
      <c r="C741" t="s">
        <v>863</v>
      </c>
      <c r="D741" s="14">
        <v>35880</v>
      </c>
      <c r="E741" s="14">
        <v>35885</v>
      </c>
      <c r="F741" t="s">
        <v>859</v>
      </c>
      <c r="G741" s="10">
        <v>388.37700000000001</v>
      </c>
      <c r="H741" t="s">
        <v>147</v>
      </c>
    </row>
    <row r="742" spans="1:8" x14ac:dyDescent="0.45">
      <c r="A742">
        <v>10980</v>
      </c>
      <c r="B742" t="s">
        <v>169</v>
      </c>
      <c r="C742" t="s">
        <v>858</v>
      </c>
      <c r="D742" s="14">
        <v>35881</v>
      </c>
      <c r="E742" s="14">
        <v>35902</v>
      </c>
      <c r="F742" t="s">
        <v>857</v>
      </c>
      <c r="G742" s="10">
        <v>1.3859999999999999</v>
      </c>
      <c r="H742" t="s">
        <v>37</v>
      </c>
    </row>
    <row r="743" spans="1:8" x14ac:dyDescent="0.45">
      <c r="A743">
        <v>10981</v>
      </c>
      <c r="B743" t="s">
        <v>243</v>
      </c>
      <c r="C743" t="s">
        <v>862</v>
      </c>
      <c r="D743" s="14">
        <v>35881</v>
      </c>
      <c r="E743" s="14">
        <v>35887</v>
      </c>
      <c r="F743" t="s">
        <v>859</v>
      </c>
      <c r="G743" s="10">
        <v>212.70699999999999</v>
      </c>
      <c r="H743" t="s">
        <v>113</v>
      </c>
    </row>
    <row r="744" spans="1:8" x14ac:dyDescent="0.45">
      <c r="A744">
        <v>10982</v>
      </c>
      <c r="B744" t="s">
        <v>70</v>
      </c>
      <c r="C744" t="s">
        <v>864</v>
      </c>
      <c r="D744" s="14">
        <v>35881</v>
      </c>
      <c r="E744" s="14">
        <v>35893</v>
      </c>
      <c r="F744" t="s">
        <v>857</v>
      </c>
      <c r="G744" s="10">
        <v>15.411</v>
      </c>
      <c r="H744" t="s">
        <v>76</v>
      </c>
    </row>
    <row r="745" spans="1:8" x14ac:dyDescent="0.45">
      <c r="A745">
        <v>10983</v>
      </c>
      <c r="B745" t="s">
        <v>504</v>
      </c>
      <c r="C745" t="s">
        <v>864</v>
      </c>
      <c r="D745" s="14">
        <v>35881</v>
      </c>
      <c r="E745" s="14">
        <v>35891</v>
      </c>
      <c r="F745" t="s">
        <v>859</v>
      </c>
      <c r="G745" s="10">
        <v>723.29399999999998</v>
      </c>
      <c r="H745" t="s">
        <v>231</v>
      </c>
    </row>
    <row r="746" spans="1:8" x14ac:dyDescent="0.45">
      <c r="A746">
        <v>10984</v>
      </c>
      <c r="B746" t="s">
        <v>504</v>
      </c>
      <c r="C746" t="s">
        <v>862</v>
      </c>
      <c r="D746" s="14">
        <v>35884</v>
      </c>
      <c r="E746" s="14">
        <v>35888</v>
      </c>
      <c r="F746" t="s">
        <v>855</v>
      </c>
      <c r="G746" s="10">
        <v>232.34200000000001</v>
      </c>
      <c r="H746" t="s">
        <v>231</v>
      </c>
    </row>
    <row r="747" spans="1:8" x14ac:dyDescent="0.45">
      <c r="A747">
        <v>10985</v>
      </c>
      <c r="B747" t="s">
        <v>266</v>
      </c>
      <c r="C747" t="s">
        <v>864</v>
      </c>
      <c r="D747" s="14">
        <v>35884</v>
      </c>
      <c r="E747" s="14">
        <v>35887</v>
      </c>
      <c r="F747" t="s">
        <v>857</v>
      </c>
      <c r="G747" s="10">
        <v>100.661</v>
      </c>
      <c r="H747" t="s">
        <v>271</v>
      </c>
    </row>
    <row r="748" spans="1:8" x14ac:dyDescent="0.45">
      <c r="A748">
        <v>10986</v>
      </c>
      <c r="B748" t="s">
        <v>392</v>
      </c>
      <c r="C748" t="s">
        <v>863</v>
      </c>
      <c r="D748" s="14">
        <v>35884</v>
      </c>
      <c r="E748" s="14">
        <v>35906</v>
      </c>
      <c r="F748" t="s">
        <v>859</v>
      </c>
      <c r="G748" s="10">
        <v>239.64599999999999</v>
      </c>
      <c r="H748" t="s">
        <v>90</v>
      </c>
    </row>
    <row r="749" spans="1:8" x14ac:dyDescent="0.45">
      <c r="A749">
        <v>10987</v>
      </c>
      <c r="B749" t="s">
        <v>136</v>
      </c>
      <c r="C749" t="s">
        <v>863</v>
      </c>
      <c r="D749" s="14">
        <v>35885</v>
      </c>
      <c r="E749" s="14">
        <v>35891</v>
      </c>
      <c r="F749" t="s">
        <v>857</v>
      </c>
      <c r="G749" s="10">
        <v>204.02799999999999</v>
      </c>
      <c r="H749" t="s">
        <v>29</v>
      </c>
    </row>
    <row r="750" spans="1:8" x14ac:dyDescent="0.45">
      <c r="A750">
        <v>10988</v>
      </c>
      <c r="B750" t="s">
        <v>462</v>
      </c>
      <c r="C750" t="s">
        <v>860</v>
      </c>
      <c r="D750" s="14">
        <v>35885</v>
      </c>
      <c r="E750" s="14">
        <v>35895</v>
      </c>
      <c r="F750" t="s">
        <v>859</v>
      </c>
      <c r="G750" s="10">
        <v>67.254000000000005</v>
      </c>
      <c r="H750" t="s">
        <v>231</v>
      </c>
    </row>
    <row r="751" spans="1:8" x14ac:dyDescent="0.45">
      <c r="A751">
        <v>10989</v>
      </c>
      <c r="B751" t="s">
        <v>438</v>
      </c>
      <c r="C751" t="s">
        <v>864</v>
      </c>
      <c r="D751" s="14">
        <v>35885</v>
      </c>
      <c r="E751" s="14">
        <v>35887</v>
      </c>
      <c r="F751" t="s">
        <v>857</v>
      </c>
      <c r="G751" s="10">
        <v>38.235999999999997</v>
      </c>
      <c r="H751" t="s">
        <v>113</v>
      </c>
    </row>
    <row r="752" spans="1:8" x14ac:dyDescent="0.45">
      <c r="A752">
        <v>10990</v>
      </c>
      <c r="B752" t="s">
        <v>142</v>
      </c>
      <c r="C752" t="s">
        <v>864</v>
      </c>
      <c r="D752" s="14">
        <v>35886</v>
      </c>
      <c r="E752" s="14">
        <v>35892</v>
      </c>
      <c r="F752" t="s">
        <v>855</v>
      </c>
      <c r="G752" s="10">
        <v>129.37100000000001</v>
      </c>
      <c r="H752" t="s">
        <v>147</v>
      </c>
    </row>
    <row r="753" spans="1:8" x14ac:dyDescent="0.45">
      <c r="A753">
        <v>10991</v>
      </c>
      <c r="B753" t="s">
        <v>450</v>
      </c>
      <c r="C753" t="s">
        <v>862</v>
      </c>
      <c r="D753" s="14">
        <v>35886</v>
      </c>
      <c r="E753" s="14">
        <v>35892</v>
      </c>
      <c r="F753" t="s">
        <v>857</v>
      </c>
      <c r="G753" s="10">
        <v>42.360999999999997</v>
      </c>
      <c r="H753" t="s">
        <v>7</v>
      </c>
    </row>
    <row r="754" spans="1:8" x14ac:dyDescent="0.45">
      <c r="A754">
        <v>10992</v>
      </c>
      <c r="B754" t="s">
        <v>547</v>
      </c>
      <c r="C754" t="s">
        <v>862</v>
      </c>
      <c r="D754" s="14">
        <v>35886</v>
      </c>
      <c r="E754" s="14">
        <v>35888</v>
      </c>
      <c r="F754" t="s">
        <v>855</v>
      </c>
      <c r="G754" s="10">
        <v>4.6970000000000001</v>
      </c>
      <c r="H754" t="s">
        <v>231</v>
      </c>
    </row>
    <row r="755" spans="1:8" x14ac:dyDescent="0.45">
      <c r="A755">
        <v>10993</v>
      </c>
      <c r="B755" t="s">
        <v>169</v>
      </c>
      <c r="C755" t="s">
        <v>865</v>
      </c>
      <c r="D755" s="14">
        <v>35886</v>
      </c>
      <c r="E755" s="14">
        <v>35895</v>
      </c>
      <c r="F755" t="s">
        <v>855</v>
      </c>
      <c r="G755" s="10">
        <v>9.6910000000000007</v>
      </c>
      <c r="H755" t="s">
        <v>37</v>
      </c>
    </row>
    <row r="756" spans="1:8" x14ac:dyDescent="0.45">
      <c r="A756">
        <v>10994</v>
      </c>
      <c r="B756" t="s">
        <v>586</v>
      </c>
      <c r="C756" t="s">
        <v>864</v>
      </c>
      <c r="D756" s="14">
        <v>35887</v>
      </c>
      <c r="E756" s="14">
        <v>35894</v>
      </c>
      <c r="F756" t="s">
        <v>855</v>
      </c>
      <c r="G756" s="10">
        <v>72.082999999999998</v>
      </c>
      <c r="H756" t="s">
        <v>523</v>
      </c>
    </row>
    <row r="757" spans="1:8" x14ac:dyDescent="0.45">
      <c r="A757">
        <v>10995</v>
      </c>
      <c r="B757" t="s">
        <v>419</v>
      </c>
      <c r="C757" t="s">
        <v>862</v>
      </c>
      <c r="D757" s="14">
        <v>35887</v>
      </c>
      <c r="E757" s="14">
        <v>35891</v>
      </c>
      <c r="F757" t="s">
        <v>855</v>
      </c>
      <c r="G757" s="10">
        <v>50.6</v>
      </c>
      <c r="H757" t="s">
        <v>15</v>
      </c>
    </row>
    <row r="758" spans="1:8" x14ac:dyDescent="0.45">
      <c r="A758">
        <v>10996</v>
      </c>
      <c r="B758" t="s">
        <v>450</v>
      </c>
      <c r="C758" t="s">
        <v>858</v>
      </c>
      <c r="D758" s="14">
        <v>35887</v>
      </c>
      <c r="E758" s="14">
        <v>35895</v>
      </c>
      <c r="F758" t="s">
        <v>859</v>
      </c>
      <c r="G758" s="10">
        <v>1.232</v>
      </c>
      <c r="H758" t="s">
        <v>7</v>
      </c>
    </row>
    <row r="759" spans="1:8" x14ac:dyDescent="0.45">
      <c r="A759">
        <v>10997</v>
      </c>
      <c r="B759" t="s">
        <v>333</v>
      </c>
      <c r="C759" t="s">
        <v>863</v>
      </c>
      <c r="D759" s="14">
        <v>35888</v>
      </c>
      <c r="E759" s="14">
        <v>35898</v>
      </c>
      <c r="F759" t="s">
        <v>859</v>
      </c>
      <c r="G759" s="10">
        <v>81.301000000000002</v>
      </c>
      <c r="H759" t="s">
        <v>240</v>
      </c>
    </row>
    <row r="760" spans="1:8" x14ac:dyDescent="0.45">
      <c r="A760">
        <v>10998</v>
      </c>
      <c r="B760" t="s">
        <v>643</v>
      </c>
      <c r="C760" t="s">
        <v>863</v>
      </c>
      <c r="D760" s="14">
        <v>35888</v>
      </c>
      <c r="E760" s="14">
        <v>35902</v>
      </c>
      <c r="F760" t="s">
        <v>859</v>
      </c>
      <c r="G760" s="10">
        <v>22.341000000000001</v>
      </c>
      <c r="H760" t="s">
        <v>648</v>
      </c>
    </row>
    <row r="761" spans="1:8" x14ac:dyDescent="0.45">
      <c r="A761">
        <v>10999</v>
      </c>
      <c r="B761" t="s">
        <v>405</v>
      </c>
      <c r="C761" t="s">
        <v>856</v>
      </c>
      <c r="D761" s="14">
        <v>35888</v>
      </c>
      <c r="E761" s="14">
        <v>35895</v>
      </c>
      <c r="F761" t="s">
        <v>859</v>
      </c>
      <c r="G761" s="10">
        <v>105.985</v>
      </c>
      <c r="H761" t="s">
        <v>7</v>
      </c>
    </row>
    <row r="762" spans="1:8" x14ac:dyDescent="0.45">
      <c r="A762">
        <v>11000</v>
      </c>
      <c r="B762" t="s">
        <v>462</v>
      </c>
      <c r="C762" t="s">
        <v>864</v>
      </c>
      <c r="D762" s="14">
        <v>35891</v>
      </c>
      <c r="E762" s="14">
        <v>35899</v>
      </c>
      <c r="F762" t="s">
        <v>855</v>
      </c>
      <c r="G762" s="10">
        <v>60.631999999999998</v>
      </c>
      <c r="H762" t="s">
        <v>231</v>
      </c>
    </row>
    <row r="763" spans="1:8" x14ac:dyDescent="0.45">
      <c r="A763">
        <v>11001</v>
      </c>
      <c r="B763" t="s">
        <v>169</v>
      </c>
      <c r="C763" t="s">
        <v>864</v>
      </c>
      <c r="D763" s="14">
        <v>35891</v>
      </c>
      <c r="E763" s="14">
        <v>35899</v>
      </c>
      <c r="F763" t="s">
        <v>859</v>
      </c>
      <c r="G763" s="10">
        <v>217.03</v>
      </c>
      <c r="H763" t="s">
        <v>37</v>
      </c>
    </row>
    <row r="764" spans="1:8" x14ac:dyDescent="0.45">
      <c r="A764">
        <v>11002</v>
      </c>
      <c r="B764" t="s">
        <v>504</v>
      </c>
      <c r="C764" t="s">
        <v>858</v>
      </c>
      <c r="D764" s="14">
        <v>35891</v>
      </c>
      <c r="E764" s="14">
        <v>35901</v>
      </c>
      <c r="F764" t="s">
        <v>857</v>
      </c>
      <c r="G764" s="10">
        <v>155.27600000000001</v>
      </c>
      <c r="H764" t="s">
        <v>231</v>
      </c>
    </row>
    <row r="765" spans="1:8" x14ac:dyDescent="0.45">
      <c r="A765">
        <v>11003</v>
      </c>
      <c r="B765" t="s">
        <v>553</v>
      </c>
      <c r="C765" t="s">
        <v>860</v>
      </c>
      <c r="D765" s="14">
        <v>35891</v>
      </c>
      <c r="E765" s="14">
        <v>35893</v>
      </c>
      <c r="F765" t="s">
        <v>855</v>
      </c>
      <c r="G765" s="10">
        <v>16.401</v>
      </c>
      <c r="H765" t="s">
        <v>231</v>
      </c>
    </row>
    <row r="766" spans="1:8" x14ac:dyDescent="0.45">
      <c r="A766">
        <v>11004</v>
      </c>
      <c r="B766" t="s">
        <v>363</v>
      </c>
      <c r="C766" t="s">
        <v>860</v>
      </c>
      <c r="D766" s="14">
        <v>35892</v>
      </c>
      <c r="E766" s="14">
        <v>35905</v>
      </c>
      <c r="F766" t="s">
        <v>857</v>
      </c>
      <c r="G766" s="10">
        <v>49.323999999999998</v>
      </c>
      <c r="H766" t="s">
        <v>368</v>
      </c>
    </row>
    <row r="767" spans="1:8" x14ac:dyDescent="0.45">
      <c r="A767">
        <v>11005</v>
      </c>
      <c r="B767" t="s">
        <v>636</v>
      </c>
      <c r="C767" t="s">
        <v>864</v>
      </c>
      <c r="D767" s="14">
        <v>35892</v>
      </c>
      <c r="E767" s="14">
        <v>35895</v>
      </c>
      <c r="F767" t="s">
        <v>857</v>
      </c>
      <c r="G767" s="10">
        <v>0.82499999999999996</v>
      </c>
      <c r="H767" t="s">
        <v>619</v>
      </c>
    </row>
    <row r="768" spans="1:8" x14ac:dyDescent="0.45">
      <c r="A768">
        <v>11006</v>
      </c>
      <c r="B768" t="s">
        <v>225</v>
      </c>
      <c r="C768" t="s">
        <v>860</v>
      </c>
      <c r="D768" s="14">
        <v>35892</v>
      </c>
      <c r="E768" s="14">
        <v>35900</v>
      </c>
      <c r="F768" t="s">
        <v>859</v>
      </c>
      <c r="G768" s="10">
        <v>27.709</v>
      </c>
      <c r="H768" t="s">
        <v>231</v>
      </c>
    </row>
    <row r="769" spans="1:8" x14ac:dyDescent="0.45">
      <c r="A769">
        <v>11007</v>
      </c>
      <c r="B769" t="s">
        <v>432</v>
      </c>
      <c r="C769" t="s">
        <v>863</v>
      </c>
      <c r="D769" s="14">
        <v>35893</v>
      </c>
      <c r="E769" s="14">
        <v>35898</v>
      </c>
      <c r="F769" t="s">
        <v>859</v>
      </c>
      <c r="G769" s="10">
        <v>222.464</v>
      </c>
      <c r="H769" t="s">
        <v>201</v>
      </c>
    </row>
    <row r="770" spans="1:8" x14ac:dyDescent="0.45">
      <c r="A770">
        <v>11008</v>
      </c>
      <c r="B770" t="s">
        <v>142</v>
      </c>
      <c r="C770" t="s">
        <v>865</v>
      </c>
      <c r="D770" s="14">
        <v>35893</v>
      </c>
      <c r="E770" s="14"/>
      <c r="F770" t="s">
        <v>855</v>
      </c>
      <c r="G770" s="10">
        <v>87.406000000000006</v>
      </c>
      <c r="H770" t="s">
        <v>147</v>
      </c>
    </row>
    <row r="771" spans="1:8" x14ac:dyDescent="0.45">
      <c r="A771">
        <v>11009</v>
      </c>
      <c r="B771" t="s">
        <v>211</v>
      </c>
      <c r="C771" t="s">
        <v>864</v>
      </c>
      <c r="D771" s="14">
        <v>35893</v>
      </c>
      <c r="E771" s="14">
        <v>35895</v>
      </c>
      <c r="F771" t="s">
        <v>857</v>
      </c>
      <c r="G771" s="10">
        <v>65.021000000000001</v>
      </c>
      <c r="H771" t="s">
        <v>60</v>
      </c>
    </row>
    <row r="772" spans="1:8" x14ac:dyDescent="0.45">
      <c r="A772">
        <v>11010</v>
      </c>
      <c r="B772" t="s">
        <v>470</v>
      </c>
      <c r="C772" t="s">
        <v>864</v>
      </c>
      <c r="D772" s="14">
        <v>35894</v>
      </c>
      <c r="E772" s="14">
        <v>35906</v>
      </c>
      <c r="F772" t="s">
        <v>859</v>
      </c>
      <c r="G772" s="10">
        <v>31.581</v>
      </c>
      <c r="H772" t="s">
        <v>193</v>
      </c>
    </row>
    <row r="773" spans="1:8" x14ac:dyDescent="0.45">
      <c r="A773">
        <v>11011</v>
      </c>
      <c r="B773" t="s">
        <v>1</v>
      </c>
      <c r="C773" t="s">
        <v>860</v>
      </c>
      <c r="D773" s="14">
        <v>35894</v>
      </c>
      <c r="E773" s="14">
        <v>35898</v>
      </c>
      <c r="F773" t="s">
        <v>857</v>
      </c>
      <c r="G773" s="10">
        <v>1.331</v>
      </c>
      <c r="H773" t="s">
        <v>7</v>
      </c>
    </row>
    <row r="774" spans="1:8" x14ac:dyDescent="0.45">
      <c r="A774">
        <v>11012</v>
      </c>
      <c r="B774" t="s">
        <v>176</v>
      </c>
      <c r="C774" t="s">
        <v>862</v>
      </c>
      <c r="D774" s="14">
        <v>35894</v>
      </c>
      <c r="E774" s="14">
        <v>35902</v>
      </c>
      <c r="F774" t="s">
        <v>855</v>
      </c>
      <c r="G774" s="10">
        <v>267.245</v>
      </c>
      <c r="H774" t="s">
        <v>7</v>
      </c>
    </row>
    <row r="775" spans="1:8" x14ac:dyDescent="0.45">
      <c r="A775">
        <v>11013</v>
      </c>
      <c r="B775" t="s">
        <v>490</v>
      </c>
      <c r="C775" t="s">
        <v>864</v>
      </c>
      <c r="D775" s="14">
        <v>35894</v>
      </c>
      <c r="E775" s="14">
        <v>35895</v>
      </c>
      <c r="F775" t="s">
        <v>857</v>
      </c>
      <c r="G775" s="10">
        <v>36.289000000000001</v>
      </c>
      <c r="H775" t="s">
        <v>60</v>
      </c>
    </row>
    <row r="776" spans="1:8" x14ac:dyDescent="0.45">
      <c r="A776">
        <v>11014</v>
      </c>
      <c r="B776" t="s">
        <v>341</v>
      </c>
      <c r="C776" t="s">
        <v>864</v>
      </c>
      <c r="D776" s="14">
        <v>35895</v>
      </c>
      <c r="E776" s="14">
        <v>35900</v>
      </c>
      <c r="F776" t="s">
        <v>855</v>
      </c>
      <c r="G776" s="10">
        <v>25.96</v>
      </c>
      <c r="H776" t="s">
        <v>240</v>
      </c>
    </row>
    <row r="777" spans="1:8" x14ac:dyDescent="0.45">
      <c r="A777">
        <v>11015</v>
      </c>
      <c r="B777" t="s">
        <v>496</v>
      </c>
      <c r="C777" t="s">
        <v>864</v>
      </c>
      <c r="D777" s="14">
        <v>35895</v>
      </c>
      <c r="E777" s="14">
        <v>35905</v>
      </c>
      <c r="F777" t="s">
        <v>859</v>
      </c>
      <c r="G777" s="10">
        <v>5.0819999999999999</v>
      </c>
      <c r="H777" t="s">
        <v>501</v>
      </c>
    </row>
    <row r="778" spans="1:8" x14ac:dyDescent="0.45">
      <c r="A778">
        <v>11016</v>
      </c>
      <c r="B778" t="s">
        <v>24</v>
      </c>
      <c r="C778" t="s">
        <v>861</v>
      </c>
      <c r="D778" s="14">
        <v>35895</v>
      </c>
      <c r="E778" s="14">
        <v>35898</v>
      </c>
      <c r="F778" t="s">
        <v>859</v>
      </c>
      <c r="G778" s="10">
        <v>37.18</v>
      </c>
      <c r="H778" t="s">
        <v>29</v>
      </c>
    </row>
    <row r="779" spans="1:8" x14ac:dyDescent="0.45">
      <c r="A779">
        <v>11017</v>
      </c>
      <c r="B779" t="s">
        <v>142</v>
      </c>
      <c r="C779" t="s">
        <v>861</v>
      </c>
      <c r="D779" s="14">
        <v>35898</v>
      </c>
      <c r="E779" s="14">
        <v>35905</v>
      </c>
      <c r="F779" t="s">
        <v>859</v>
      </c>
      <c r="G779" s="10">
        <v>829.68600000000004</v>
      </c>
      <c r="H779" t="s">
        <v>147</v>
      </c>
    </row>
    <row r="780" spans="1:8" x14ac:dyDescent="0.45">
      <c r="A780">
        <v>11018</v>
      </c>
      <c r="B780" t="s">
        <v>349</v>
      </c>
      <c r="C780" t="s">
        <v>858</v>
      </c>
      <c r="D780" s="14">
        <v>35898</v>
      </c>
      <c r="E780" s="14">
        <v>35901</v>
      </c>
      <c r="F780" t="s">
        <v>859</v>
      </c>
      <c r="G780" s="10">
        <v>12.815</v>
      </c>
      <c r="H780" t="s">
        <v>231</v>
      </c>
    </row>
    <row r="781" spans="1:8" x14ac:dyDescent="0.45">
      <c r="A781">
        <v>11019</v>
      </c>
      <c r="B781" t="s">
        <v>457</v>
      </c>
      <c r="C781" t="s">
        <v>856</v>
      </c>
      <c r="D781" s="14">
        <v>35898</v>
      </c>
      <c r="E781" s="14"/>
      <c r="F781" t="s">
        <v>855</v>
      </c>
      <c r="G781" s="10">
        <v>3.4870000000000001</v>
      </c>
      <c r="H781" t="s">
        <v>90</v>
      </c>
    </row>
    <row r="782" spans="1:8" x14ac:dyDescent="0.45">
      <c r="A782">
        <v>11020</v>
      </c>
      <c r="B782" t="s">
        <v>405</v>
      </c>
      <c r="C782" t="s">
        <v>864</v>
      </c>
      <c r="D782" s="14">
        <v>35899</v>
      </c>
      <c r="E782" s="14">
        <v>35901</v>
      </c>
      <c r="F782" t="s">
        <v>859</v>
      </c>
      <c r="G782" s="10">
        <v>47.63</v>
      </c>
      <c r="H782" t="s">
        <v>7</v>
      </c>
    </row>
    <row r="783" spans="1:8" x14ac:dyDescent="0.45">
      <c r="A783">
        <v>11021</v>
      </c>
      <c r="B783" t="s">
        <v>450</v>
      </c>
      <c r="C783" t="s">
        <v>860</v>
      </c>
      <c r="D783" s="14">
        <v>35899</v>
      </c>
      <c r="E783" s="14">
        <v>35906</v>
      </c>
      <c r="F783" t="s">
        <v>857</v>
      </c>
      <c r="G783" s="10">
        <v>326.89800000000002</v>
      </c>
      <c r="H783" t="s">
        <v>7</v>
      </c>
    </row>
    <row r="784" spans="1:8" x14ac:dyDescent="0.45">
      <c r="A784">
        <v>11022</v>
      </c>
      <c r="B784" t="s">
        <v>243</v>
      </c>
      <c r="C784" t="s">
        <v>861</v>
      </c>
      <c r="D784" s="14">
        <v>35899</v>
      </c>
      <c r="E784" s="14">
        <v>35919</v>
      </c>
      <c r="F784" t="s">
        <v>859</v>
      </c>
      <c r="G784" s="10">
        <v>6.8970000000000002</v>
      </c>
      <c r="H784" t="s">
        <v>113</v>
      </c>
    </row>
    <row r="785" spans="1:8" x14ac:dyDescent="0.45">
      <c r="A785">
        <v>11023</v>
      </c>
      <c r="B785" t="s">
        <v>79</v>
      </c>
      <c r="C785" t="s">
        <v>862</v>
      </c>
      <c r="D785" s="14">
        <v>35899</v>
      </c>
      <c r="E785" s="14">
        <v>35909</v>
      </c>
      <c r="F785" t="s">
        <v>859</v>
      </c>
      <c r="G785" s="10">
        <v>136.21299999999999</v>
      </c>
      <c r="H785" t="s">
        <v>29</v>
      </c>
    </row>
    <row r="786" spans="1:8" x14ac:dyDescent="0.45">
      <c r="A786">
        <v>11024</v>
      </c>
      <c r="B786" t="s">
        <v>136</v>
      </c>
      <c r="C786" t="s">
        <v>858</v>
      </c>
      <c r="D786" s="14">
        <v>35900</v>
      </c>
      <c r="E786" s="14">
        <v>35905</v>
      </c>
      <c r="F786" t="s">
        <v>857</v>
      </c>
      <c r="G786" s="10">
        <v>81.796000000000006</v>
      </c>
      <c r="H786" t="s">
        <v>29</v>
      </c>
    </row>
    <row r="787" spans="1:8" x14ac:dyDescent="0.45">
      <c r="A787">
        <v>11025</v>
      </c>
      <c r="B787" t="s">
        <v>614</v>
      </c>
      <c r="C787" t="s">
        <v>856</v>
      </c>
      <c r="D787" s="14">
        <v>35900</v>
      </c>
      <c r="E787" s="14">
        <v>35909</v>
      </c>
      <c r="F787" t="s">
        <v>855</v>
      </c>
      <c r="G787" s="10">
        <v>32.087000000000003</v>
      </c>
      <c r="H787" t="s">
        <v>619</v>
      </c>
    </row>
    <row r="788" spans="1:8" x14ac:dyDescent="0.45">
      <c r="A788">
        <v>11026</v>
      </c>
      <c r="B788" t="s">
        <v>188</v>
      </c>
      <c r="C788" t="s">
        <v>858</v>
      </c>
      <c r="D788" s="14">
        <v>35900</v>
      </c>
      <c r="E788" s="14">
        <v>35913</v>
      </c>
      <c r="F788" t="s">
        <v>857</v>
      </c>
      <c r="G788" s="10">
        <v>51.798999999999999</v>
      </c>
      <c r="H788" t="s">
        <v>193</v>
      </c>
    </row>
    <row r="789" spans="1:8" x14ac:dyDescent="0.45">
      <c r="A789">
        <v>11027</v>
      </c>
      <c r="B789" t="s">
        <v>70</v>
      </c>
      <c r="C789" t="s">
        <v>862</v>
      </c>
      <c r="D789" s="14">
        <v>35901</v>
      </c>
      <c r="E789" s="14">
        <v>35905</v>
      </c>
      <c r="F789" t="s">
        <v>857</v>
      </c>
      <c r="G789" s="10">
        <v>57.771999999999998</v>
      </c>
      <c r="H789" t="s">
        <v>76</v>
      </c>
    </row>
    <row r="790" spans="1:8" x14ac:dyDescent="0.45">
      <c r="A790">
        <v>11028</v>
      </c>
      <c r="B790" t="s">
        <v>282</v>
      </c>
      <c r="C790" t="s">
        <v>864</v>
      </c>
      <c r="D790" s="14">
        <v>35901</v>
      </c>
      <c r="E790" s="14">
        <v>35907</v>
      </c>
      <c r="F790" t="s">
        <v>857</v>
      </c>
      <c r="G790" s="10">
        <v>32.548999999999999</v>
      </c>
      <c r="H790" t="s">
        <v>7</v>
      </c>
    </row>
    <row r="791" spans="1:8" x14ac:dyDescent="0.45">
      <c r="A791">
        <v>11029</v>
      </c>
      <c r="B791" t="s">
        <v>99</v>
      </c>
      <c r="C791" t="s">
        <v>858</v>
      </c>
      <c r="D791" s="14">
        <v>35901</v>
      </c>
      <c r="E791" s="14">
        <v>35912</v>
      </c>
      <c r="F791" t="s">
        <v>857</v>
      </c>
      <c r="G791" s="10">
        <v>52.624000000000002</v>
      </c>
      <c r="H791" t="s">
        <v>104</v>
      </c>
    </row>
    <row r="792" spans="1:8" x14ac:dyDescent="0.45">
      <c r="A792">
        <v>11030</v>
      </c>
      <c r="B792" t="s">
        <v>504</v>
      </c>
      <c r="C792" t="s">
        <v>865</v>
      </c>
      <c r="D792" s="14">
        <v>35902</v>
      </c>
      <c r="E792" s="14">
        <v>35912</v>
      </c>
      <c r="F792" t="s">
        <v>859</v>
      </c>
      <c r="G792" s="10">
        <v>913.82500000000005</v>
      </c>
      <c r="H792" t="s">
        <v>231</v>
      </c>
    </row>
    <row r="793" spans="1:8" x14ac:dyDescent="0.45">
      <c r="A793">
        <v>11031</v>
      </c>
      <c r="B793" t="s">
        <v>504</v>
      </c>
      <c r="C793" t="s">
        <v>856</v>
      </c>
      <c r="D793" s="14">
        <v>35902</v>
      </c>
      <c r="E793" s="14">
        <v>35909</v>
      </c>
      <c r="F793" t="s">
        <v>859</v>
      </c>
      <c r="G793" s="10">
        <v>249.94200000000001</v>
      </c>
      <c r="H793" t="s">
        <v>231</v>
      </c>
    </row>
    <row r="794" spans="1:8" x14ac:dyDescent="0.45">
      <c r="A794">
        <v>11032</v>
      </c>
      <c r="B794" t="s">
        <v>629</v>
      </c>
      <c r="C794" t="s">
        <v>864</v>
      </c>
      <c r="D794" s="14">
        <v>35902</v>
      </c>
      <c r="E794" s="14">
        <v>35908</v>
      </c>
      <c r="F794" t="s">
        <v>855</v>
      </c>
      <c r="G794" s="10">
        <v>666.80899999999997</v>
      </c>
      <c r="H794" t="s">
        <v>231</v>
      </c>
    </row>
    <row r="795" spans="1:8" x14ac:dyDescent="0.45">
      <c r="A795">
        <v>11033</v>
      </c>
      <c r="B795" t="s">
        <v>483</v>
      </c>
      <c r="C795" t="s">
        <v>865</v>
      </c>
      <c r="D795" s="14">
        <v>35902</v>
      </c>
      <c r="E795" s="14">
        <v>35908</v>
      </c>
      <c r="F795" t="s">
        <v>855</v>
      </c>
      <c r="G795" s="10">
        <v>93.213999999999999</v>
      </c>
      <c r="H795" t="s">
        <v>104</v>
      </c>
    </row>
    <row r="796" spans="1:8" x14ac:dyDescent="0.45">
      <c r="A796">
        <v>11034</v>
      </c>
      <c r="B796" t="s">
        <v>397</v>
      </c>
      <c r="C796" t="s">
        <v>863</v>
      </c>
      <c r="D796" s="14">
        <v>35905</v>
      </c>
      <c r="E796" s="14">
        <v>35912</v>
      </c>
      <c r="F796" t="s">
        <v>857</v>
      </c>
      <c r="G796" s="10">
        <v>44.351999999999997</v>
      </c>
      <c r="H796" t="s">
        <v>231</v>
      </c>
    </row>
    <row r="797" spans="1:8" x14ac:dyDescent="0.45">
      <c r="A797">
        <v>11035</v>
      </c>
      <c r="B797" t="s">
        <v>540</v>
      </c>
      <c r="C797" t="s">
        <v>864</v>
      </c>
      <c r="D797" s="14">
        <v>35905</v>
      </c>
      <c r="E797" s="14">
        <v>35909</v>
      </c>
      <c r="F797" t="s">
        <v>859</v>
      </c>
      <c r="G797" s="10">
        <v>0.187</v>
      </c>
      <c r="H797" t="s">
        <v>368</v>
      </c>
    </row>
    <row r="798" spans="1:8" x14ac:dyDescent="0.45">
      <c r="A798">
        <v>11036</v>
      </c>
      <c r="B798" t="s">
        <v>122</v>
      </c>
      <c r="C798" t="s">
        <v>863</v>
      </c>
      <c r="D798" s="14">
        <v>35905</v>
      </c>
      <c r="E798" s="14">
        <v>35907</v>
      </c>
      <c r="F798" t="s">
        <v>855</v>
      </c>
      <c r="G798" s="10">
        <v>164.417</v>
      </c>
      <c r="H798" t="s">
        <v>7</v>
      </c>
    </row>
    <row r="799" spans="1:8" x14ac:dyDescent="0.45">
      <c r="A799">
        <v>11037</v>
      </c>
      <c r="B799" t="s">
        <v>211</v>
      </c>
      <c r="C799" t="s">
        <v>865</v>
      </c>
      <c r="D799" s="14">
        <v>35906</v>
      </c>
      <c r="E799" s="14">
        <v>35912</v>
      </c>
      <c r="F799" t="s">
        <v>857</v>
      </c>
      <c r="G799" s="10">
        <v>3.52</v>
      </c>
      <c r="H799" t="s">
        <v>60</v>
      </c>
    </row>
    <row r="800" spans="1:8" x14ac:dyDescent="0.45">
      <c r="A800">
        <v>11038</v>
      </c>
      <c r="B800" t="s">
        <v>540</v>
      </c>
      <c r="C800" t="s">
        <v>862</v>
      </c>
      <c r="D800" s="14">
        <v>35906</v>
      </c>
      <c r="E800" s="14">
        <v>35915</v>
      </c>
      <c r="F800" t="s">
        <v>859</v>
      </c>
      <c r="G800" s="10">
        <v>32.548999999999999</v>
      </c>
      <c r="H800" t="s">
        <v>368</v>
      </c>
    </row>
    <row r="801" spans="1:8" x14ac:dyDescent="0.45">
      <c r="A801">
        <v>11039</v>
      </c>
      <c r="B801" t="s">
        <v>341</v>
      </c>
      <c r="C801" t="s">
        <v>862</v>
      </c>
      <c r="D801" s="14">
        <v>35906</v>
      </c>
      <c r="E801" s="14"/>
      <c r="F801" t="s">
        <v>859</v>
      </c>
      <c r="G801" s="10">
        <v>71.5</v>
      </c>
      <c r="H801" t="s">
        <v>240</v>
      </c>
    </row>
    <row r="802" spans="1:8" x14ac:dyDescent="0.45">
      <c r="A802">
        <v>11040</v>
      </c>
      <c r="B802" t="s">
        <v>225</v>
      </c>
      <c r="C802" t="s">
        <v>858</v>
      </c>
      <c r="D802" s="14">
        <v>35907</v>
      </c>
      <c r="E802" s="14"/>
      <c r="F802" t="s">
        <v>855</v>
      </c>
      <c r="G802" s="10">
        <v>20.724</v>
      </c>
      <c r="H802" t="s">
        <v>231</v>
      </c>
    </row>
    <row r="803" spans="1:8" x14ac:dyDescent="0.45">
      <c r="A803">
        <v>11041</v>
      </c>
      <c r="B803" t="s">
        <v>99</v>
      </c>
      <c r="C803" t="s">
        <v>860</v>
      </c>
      <c r="D803" s="14">
        <v>35907</v>
      </c>
      <c r="E803" s="14">
        <v>35913</v>
      </c>
      <c r="F803" t="s">
        <v>859</v>
      </c>
      <c r="G803" s="10">
        <v>53.042000000000002</v>
      </c>
      <c r="H803" t="s">
        <v>104</v>
      </c>
    </row>
    <row r="804" spans="1:8" x14ac:dyDescent="0.45">
      <c r="A804">
        <v>11042</v>
      </c>
      <c r="B804" t="s">
        <v>107</v>
      </c>
      <c r="C804" t="s">
        <v>864</v>
      </c>
      <c r="D804" s="14">
        <v>35907</v>
      </c>
      <c r="E804" s="14">
        <v>35916</v>
      </c>
      <c r="F804" t="s">
        <v>857</v>
      </c>
      <c r="G804" s="10">
        <v>32.988999999999997</v>
      </c>
      <c r="H804" t="s">
        <v>113</v>
      </c>
    </row>
    <row r="805" spans="1:8" x14ac:dyDescent="0.45">
      <c r="A805">
        <v>11043</v>
      </c>
      <c r="B805" t="s">
        <v>526</v>
      </c>
      <c r="C805" t="s">
        <v>854</v>
      </c>
      <c r="D805" s="14">
        <v>35907</v>
      </c>
      <c r="E805" s="14">
        <v>35914</v>
      </c>
      <c r="F805" t="s">
        <v>859</v>
      </c>
      <c r="G805" s="10">
        <v>9.68</v>
      </c>
      <c r="H805" t="s">
        <v>52</v>
      </c>
    </row>
    <row r="806" spans="1:8" x14ac:dyDescent="0.45">
      <c r="A806">
        <v>11044</v>
      </c>
      <c r="B806" t="s">
        <v>643</v>
      </c>
      <c r="C806" t="s">
        <v>858</v>
      </c>
      <c r="D806" s="14">
        <v>35908</v>
      </c>
      <c r="E806" s="14">
        <v>35916</v>
      </c>
      <c r="F806" t="s">
        <v>857</v>
      </c>
      <c r="G806" s="10">
        <v>9.5920000000000005</v>
      </c>
      <c r="H806" t="s">
        <v>648</v>
      </c>
    </row>
    <row r="807" spans="1:8" x14ac:dyDescent="0.45">
      <c r="A807">
        <v>11045</v>
      </c>
      <c r="B807" t="s">
        <v>70</v>
      </c>
      <c r="C807" t="s">
        <v>856</v>
      </c>
      <c r="D807" s="14">
        <v>35908</v>
      </c>
      <c r="E807" s="14"/>
      <c r="F807" t="s">
        <v>859</v>
      </c>
      <c r="G807" s="10">
        <v>77.638000000000005</v>
      </c>
      <c r="H807" t="s">
        <v>76</v>
      </c>
    </row>
    <row r="808" spans="1:8" x14ac:dyDescent="0.45">
      <c r="A808">
        <v>11046</v>
      </c>
      <c r="B808" t="s">
        <v>607</v>
      </c>
      <c r="C808" t="s">
        <v>863</v>
      </c>
      <c r="D808" s="14">
        <v>35908</v>
      </c>
      <c r="E808" s="14">
        <v>35909</v>
      </c>
      <c r="F808" t="s">
        <v>859</v>
      </c>
      <c r="G808" s="10">
        <v>78.804000000000002</v>
      </c>
      <c r="H808" t="s">
        <v>7</v>
      </c>
    </row>
    <row r="809" spans="1:8" x14ac:dyDescent="0.45">
      <c r="A809">
        <v>11047</v>
      </c>
      <c r="B809" t="s">
        <v>136</v>
      </c>
      <c r="C809" t="s">
        <v>865</v>
      </c>
      <c r="D809" s="14">
        <v>35909</v>
      </c>
      <c r="E809" s="14">
        <v>35916</v>
      </c>
      <c r="F809" t="s">
        <v>855</v>
      </c>
      <c r="G809" s="10">
        <v>51.281999999999996</v>
      </c>
      <c r="H809" t="s">
        <v>29</v>
      </c>
    </row>
    <row r="810" spans="1:8" x14ac:dyDescent="0.45">
      <c r="A810">
        <v>11048</v>
      </c>
      <c r="B810" t="s">
        <v>70</v>
      </c>
      <c r="C810" t="s">
        <v>865</v>
      </c>
      <c r="D810" s="14">
        <v>35909</v>
      </c>
      <c r="E810" s="14">
        <v>35915</v>
      </c>
      <c r="F810" t="s">
        <v>855</v>
      </c>
      <c r="G810" s="10">
        <v>26.532</v>
      </c>
      <c r="H810" t="s">
        <v>76</v>
      </c>
    </row>
    <row r="811" spans="1:8" x14ac:dyDescent="0.45">
      <c r="A811">
        <v>11049</v>
      </c>
      <c r="B811" t="s">
        <v>218</v>
      </c>
      <c r="C811" t="s">
        <v>860</v>
      </c>
      <c r="D811" s="14">
        <v>35909</v>
      </c>
      <c r="E811" s="14">
        <v>35919</v>
      </c>
      <c r="F811" t="s">
        <v>857</v>
      </c>
      <c r="G811" s="10">
        <v>9.1739999999999995</v>
      </c>
      <c r="H811" t="s">
        <v>113</v>
      </c>
    </row>
    <row r="812" spans="1:8" x14ac:dyDescent="0.45">
      <c r="A812">
        <v>11050</v>
      </c>
      <c r="B812" t="s">
        <v>169</v>
      </c>
      <c r="C812" t="s">
        <v>863</v>
      </c>
      <c r="D812" s="14">
        <v>35912</v>
      </c>
      <c r="E812" s="14">
        <v>35920</v>
      </c>
      <c r="F812" t="s">
        <v>859</v>
      </c>
      <c r="G812" s="10">
        <v>65.350999999999999</v>
      </c>
      <c r="H812" t="s">
        <v>37</v>
      </c>
    </row>
    <row r="813" spans="1:8" x14ac:dyDescent="0.45">
      <c r="A813">
        <v>11051</v>
      </c>
      <c r="B813" t="s">
        <v>296</v>
      </c>
      <c r="C813" t="s">
        <v>865</v>
      </c>
      <c r="D813" s="14">
        <v>35912</v>
      </c>
      <c r="E813" s="14"/>
      <c r="F813" t="s">
        <v>855</v>
      </c>
      <c r="G813" s="10">
        <v>3.069</v>
      </c>
      <c r="H813" t="s">
        <v>52</v>
      </c>
    </row>
    <row r="814" spans="1:8" x14ac:dyDescent="0.45">
      <c r="A814">
        <v>11052</v>
      </c>
      <c r="B814" t="s">
        <v>243</v>
      </c>
      <c r="C814" t="s">
        <v>860</v>
      </c>
      <c r="D814" s="14">
        <v>35912</v>
      </c>
      <c r="E814" s="14">
        <v>35916</v>
      </c>
      <c r="F814" t="s">
        <v>857</v>
      </c>
      <c r="G814" s="10">
        <v>73.986000000000004</v>
      </c>
      <c r="H814" t="s">
        <v>113</v>
      </c>
    </row>
    <row r="815" spans="1:8" x14ac:dyDescent="0.45">
      <c r="A815">
        <v>11053</v>
      </c>
      <c r="B815" t="s">
        <v>425</v>
      </c>
      <c r="C815" t="s">
        <v>864</v>
      </c>
      <c r="D815" s="14">
        <v>35912</v>
      </c>
      <c r="E815" s="14">
        <v>35914</v>
      </c>
      <c r="F815" t="s">
        <v>859</v>
      </c>
      <c r="G815" s="10">
        <v>58.354999999999997</v>
      </c>
      <c r="H815" t="s">
        <v>147</v>
      </c>
    </row>
    <row r="816" spans="1:8" x14ac:dyDescent="0.45">
      <c r="A816">
        <v>11054</v>
      </c>
      <c r="B816" t="s">
        <v>85</v>
      </c>
      <c r="C816" t="s">
        <v>863</v>
      </c>
      <c r="D816" s="14">
        <v>35913</v>
      </c>
      <c r="E816" s="14"/>
      <c r="F816" t="s">
        <v>857</v>
      </c>
      <c r="G816" s="10">
        <v>0.36299999999999999</v>
      </c>
      <c r="H816" t="s">
        <v>90</v>
      </c>
    </row>
    <row r="817" spans="1:8" x14ac:dyDescent="0.45">
      <c r="A817">
        <v>11055</v>
      </c>
      <c r="B817" t="s">
        <v>251</v>
      </c>
      <c r="C817" t="s">
        <v>865</v>
      </c>
      <c r="D817" s="14">
        <v>35913</v>
      </c>
      <c r="E817" s="14">
        <v>35920</v>
      </c>
      <c r="F817" t="s">
        <v>859</v>
      </c>
      <c r="G817" s="10">
        <v>133.012</v>
      </c>
      <c r="H817" t="s">
        <v>240</v>
      </c>
    </row>
    <row r="818" spans="1:8" x14ac:dyDescent="0.45">
      <c r="A818">
        <v>11056</v>
      </c>
      <c r="B818" t="s">
        <v>136</v>
      </c>
      <c r="C818" t="s">
        <v>863</v>
      </c>
      <c r="D818" s="14">
        <v>35913</v>
      </c>
      <c r="E818" s="14">
        <v>35916</v>
      </c>
      <c r="F818" t="s">
        <v>859</v>
      </c>
      <c r="G818" s="10">
        <v>306.85599999999999</v>
      </c>
      <c r="H818" t="s">
        <v>29</v>
      </c>
    </row>
    <row r="819" spans="1:8" x14ac:dyDescent="0.45">
      <c r="A819">
        <v>11057</v>
      </c>
      <c r="B819" t="s">
        <v>386</v>
      </c>
      <c r="C819" t="s">
        <v>860</v>
      </c>
      <c r="D819" s="14">
        <v>35914</v>
      </c>
      <c r="E819" s="14">
        <v>35916</v>
      </c>
      <c r="F819" t="s">
        <v>855</v>
      </c>
      <c r="G819" s="10">
        <v>4.5430000000000001</v>
      </c>
      <c r="H819" t="s">
        <v>29</v>
      </c>
    </row>
    <row r="820" spans="1:8" x14ac:dyDescent="0.45">
      <c r="A820">
        <v>11058</v>
      </c>
      <c r="B820" t="s">
        <v>40</v>
      </c>
      <c r="C820" t="s">
        <v>861</v>
      </c>
      <c r="D820" s="14">
        <v>35914</v>
      </c>
      <c r="E820" s="14"/>
      <c r="F820" t="s">
        <v>855</v>
      </c>
      <c r="G820" s="10">
        <v>34.253999999999998</v>
      </c>
      <c r="H820" t="s">
        <v>7</v>
      </c>
    </row>
    <row r="821" spans="1:8" x14ac:dyDescent="0.45">
      <c r="A821">
        <v>11059</v>
      </c>
      <c r="B821" t="s">
        <v>477</v>
      </c>
      <c r="C821" t="s">
        <v>864</v>
      </c>
      <c r="D821" s="14">
        <v>35914</v>
      </c>
      <c r="E821" s="14"/>
      <c r="F821" t="s">
        <v>859</v>
      </c>
      <c r="G821" s="10">
        <v>94.38</v>
      </c>
      <c r="H821" t="s">
        <v>113</v>
      </c>
    </row>
    <row r="822" spans="1:8" x14ac:dyDescent="0.45">
      <c r="A822">
        <v>11060</v>
      </c>
      <c r="B822" t="s">
        <v>188</v>
      </c>
      <c r="C822" t="s">
        <v>864</v>
      </c>
      <c r="D822" s="14">
        <v>35915</v>
      </c>
      <c r="E822" s="14">
        <v>35919</v>
      </c>
      <c r="F822" t="s">
        <v>859</v>
      </c>
      <c r="G822" s="10">
        <v>12.077999999999999</v>
      </c>
      <c r="H822" t="s">
        <v>193</v>
      </c>
    </row>
    <row r="823" spans="1:8" x14ac:dyDescent="0.45">
      <c r="A823">
        <v>11061</v>
      </c>
      <c r="B823" t="s">
        <v>225</v>
      </c>
      <c r="C823" t="s">
        <v>858</v>
      </c>
      <c r="D823" s="14">
        <v>35915</v>
      </c>
      <c r="E823" s="14"/>
      <c r="F823" t="s">
        <v>855</v>
      </c>
      <c r="G823" s="10">
        <v>15.411</v>
      </c>
      <c r="H823" t="s">
        <v>231</v>
      </c>
    </row>
    <row r="824" spans="1:8" x14ac:dyDescent="0.45">
      <c r="A824">
        <v>11062</v>
      </c>
      <c r="B824" t="s">
        <v>470</v>
      </c>
      <c r="C824" t="s">
        <v>858</v>
      </c>
      <c r="D824" s="14">
        <v>35915</v>
      </c>
      <c r="E824" s="14"/>
      <c r="F824" t="s">
        <v>859</v>
      </c>
      <c r="G824" s="10">
        <v>32.923000000000002</v>
      </c>
      <c r="H824" t="s">
        <v>193</v>
      </c>
    </row>
    <row r="825" spans="1:8" x14ac:dyDescent="0.45">
      <c r="A825">
        <v>11063</v>
      </c>
      <c r="B825" t="s">
        <v>266</v>
      </c>
      <c r="C825" t="s">
        <v>860</v>
      </c>
      <c r="D825" s="14">
        <v>35915</v>
      </c>
      <c r="E825" s="14">
        <v>35921</v>
      </c>
      <c r="F825" t="s">
        <v>859</v>
      </c>
      <c r="G825" s="10">
        <v>89.903000000000006</v>
      </c>
      <c r="H825" t="s">
        <v>271</v>
      </c>
    </row>
    <row r="826" spans="1:8" x14ac:dyDescent="0.45">
      <c r="A826">
        <v>11064</v>
      </c>
      <c r="B826" t="s">
        <v>504</v>
      </c>
      <c r="C826" t="s">
        <v>862</v>
      </c>
      <c r="D826" s="14">
        <v>35916</v>
      </c>
      <c r="E826" s="14">
        <v>35919</v>
      </c>
      <c r="F826" t="s">
        <v>857</v>
      </c>
      <c r="G826" s="10">
        <v>33.098999999999997</v>
      </c>
      <c r="H826" t="s">
        <v>231</v>
      </c>
    </row>
    <row r="827" spans="1:8" x14ac:dyDescent="0.45">
      <c r="A827">
        <v>11065</v>
      </c>
      <c r="B827" t="s">
        <v>333</v>
      </c>
      <c r="C827" t="s">
        <v>863</v>
      </c>
      <c r="D827" s="14">
        <v>35916</v>
      </c>
      <c r="E827" s="14"/>
      <c r="F827" t="s">
        <v>857</v>
      </c>
      <c r="G827" s="10">
        <v>14.201000000000001</v>
      </c>
      <c r="H827" t="s">
        <v>240</v>
      </c>
    </row>
    <row r="828" spans="1:8" x14ac:dyDescent="0.45">
      <c r="A828">
        <v>11066</v>
      </c>
      <c r="B828" t="s">
        <v>629</v>
      </c>
      <c r="C828" t="s">
        <v>865</v>
      </c>
      <c r="D828" s="14">
        <v>35916</v>
      </c>
      <c r="E828" s="14">
        <v>35919</v>
      </c>
      <c r="F828" t="s">
        <v>859</v>
      </c>
      <c r="G828" s="10">
        <v>49.192</v>
      </c>
      <c r="H828" t="s">
        <v>231</v>
      </c>
    </row>
    <row r="829" spans="1:8" x14ac:dyDescent="0.45">
      <c r="A829">
        <v>11067</v>
      </c>
      <c r="B829" t="s">
        <v>122</v>
      </c>
      <c r="C829" t="s">
        <v>862</v>
      </c>
      <c r="D829" s="14">
        <v>35919</v>
      </c>
      <c r="E829" s="14">
        <v>35921</v>
      </c>
      <c r="F829" t="s">
        <v>859</v>
      </c>
      <c r="G829" s="10">
        <v>8.7780000000000005</v>
      </c>
      <c r="H829" t="s">
        <v>7</v>
      </c>
    </row>
    <row r="830" spans="1:8" x14ac:dyDescent="0.45">
      <c r="A830">
        <v>11068</v>
      </c>
      <c r="B830" t="s">
        <v>444</v>
      </c>
      <c r="C830" t="s">
        <v>863</v>
      </c>
      <c r="D830" s="14">
        <v>35919</v>
      </c>
      <c r="E830" s="14"/>
      <c r="F830" t="s">
        <v>859</v>
      </c>
      <c r="G830" s="10">
        <v>89.924999999999997</v>
      </c>
      <c r="H830" t="s">
        <v>113</v>
      </c>
    </row>
    <row r="831" spans="1:8" x14ac:dyDescent="0.45">
      <c r="A831">
        <v>11069</v>
      </c>
      <c r="B831" t="s">
        <v>568</v>
      </c>
      <c r="C831" t="s">
        <v>862</v>
      </c>
      <c r="D831" s="14">
        <v>35919</v>
      </c>
      <c r="E831" s="14">
        <v>35921</v>
      </c>
      <c r="F831" t="s">
        <v>859</v>
      </c>
      <c r="G831" s="10">
        <v>17.236999999999998</v>
      </c>
      <c r="H831" t="s">
        <v>15</v>
      </c>
    </row>
    <row r="832" spans="1:8" x14ac:dyDescent="0.45">
      <c r="A832">
        <v>11070</v>
      </c>
      <c r="B832" t="s">
        <v>318</v>
      </c>
      <c r="C832" t="s">
        <v>864</v>
      </c>
      <c r="D832" s="14">
        <v>35920</v>
      </c>
      <c r="E832" s="14"/>
      <c r="F832" t="s">
        <v>857</v>
      </c>
      <c r="G832" s="10">
        <v>149.6</v>
      </c>
      <c r="H832" t="s">
        <v>7</v>
      </c>
    </row>
    <row r="833" spans="1:8" x14ac:dyDescent="0.45">
      <c r="A833">
        <v>11071</v>
      </c>
      <c r="B833" t="s">
        <v>333</v>
      </c>
      <c r="C833" t="s">
        <v>862</v>
      </c>
      <c r="D833" s="14">
        <v>35920</v>
      </c>
      <c r="E833" s="14"/>
      <c r="F833" t="s">
        <v>857</v>
      </c>
      <c r="G833" s="10">
        <v>1.0229999999999999</v>
      </c>
      <c r="H833" t="s">
        <v>240</v>
      </c>
    </row>
    <row r="834" spans="1:8" x14ac:dyDescent="0.45">
      <c r="A834">
        <v>11072</v>
      </c>
      <c r="B834" t="s">
        <v>142</v>
      </c>
      <c r="C834" t="s">
        <v>858</v>
      </c>
      <c r="D834" s="14">
        <v>35920</v>
      </c>
      <c r="E834" s="14"/>
      <c r="F834" t="s">
        <v>859</v>
      </c>
      <c r="G834" s="10">
        <v>284.50400000000002</v>
      </c>
      <c r="H834" t="s">
        <v>147</v>
      </c>
    </row>
    <row r="835" spans="1:8" x14ac:dyDescent="0.45">
      <c r="A835">
        <v>11073</v>
      </c>
      <c r="B835" t="s">
        <v>419</v>
      </c>
      <c r="C835" t="s">
        <v>864</v>
      </c>
      <c r="D835" s="14">
        <v>35920</v>
      </c>
      <c r="E835" s="14"/>
      <c r="F835" t="s">
        <v>859</v>
      </c>
      <c r="G835" s="10">
        <v>27.445</v>
      </c>
      <c r="H835" t="s">
        <v>15</v>
      </c>
    </row>
    <row r="836" spans="1:8" x14ac:dyDescent="0.45">
      <c r="A836">
        <v>11074</v>
      </c>
      <c r="B836" t="s">
        <v>518</v>
      </c>
      <c r="C836" t="s">
        <v>865</v>
      </c>
      <c r="D836" s="14">
        <v>35921</v>
      </c>
      <c r="E836" s="14"/>
      <c r="F836" t="s">
        <v>859</v>
      </c>
      <c r="G836" s="10">
        <v>20.283999999999999</v>
      </c>
      <c r="H836" t="s">
        <v>523</v>
      </c>
    </row>
    <row r="837" spans="1:8" x14ac:dyDescent="0.45">
      <c r="A837">
        <v>11075</v>
      </c>
      <c r="B837" t="s">
        <v>483</v>
      </c>
      <c r="C837" t="s">
        <v>863</v>
      </c>
      <c r="D837" s="14">
        <v>35921</v>
      </c>
      <c r="E837" s="14"/>
      <c r="F837" t="s">
        <v>859</v>
      </c>
      <c r="G837" s="10">
        <v>6.8090000000000002</v>
      </c>
      <c r="H837" t="s">
        <v>104</v>
      </c>
    </row>
    <row r="838" spans="1:8" x14ac:dyDescent="0.45">
      <c r="A838">
        <v>11076</v>
      </c>
      <c r="B838" t="s">
        <v>63</v>
      </c>
      <c r="C838" t="s">
        <v>858</v>
      </c>
      <c r="D838" s="14">
        <v>35921</v>
      </c>
      <c r="E838" s="14"/>
      <c r="F838" t="s">
        <v>859</v>
      </c>
      <c r="G838" s="10">
        <v>42.107999999999997</v>
      </c>
      <c r="H838" t="s">
        <v>52</v>
      </c>
    </row>
    <row r="839" spans="1:8" x14ac:dyDescent="0.45">
      <c r="A839">
        <v>11077</v>
      </c>
      <c r="B839" t="s">
        <v>462</v>
      </c>
      <c r="C839" t="s">
        <v>862</v>
      </c>
      <c r="D839" s="14">
        <v>35921</v>
      </c>
      <c r="E839" s="14"/>
      <c r="F839" t="s">
        <v>859</v>
      </c>
      <c r="G839" s="10">
        <v>9.3829999999999991</v>
      </c>
      <c r="H839" t="s">
        <v>231</v>
      </c>
    </row>
    <row r="840" spans="1:8" x14ac:dyDescent="0.45">
      <c r="A840" t="s">
        <v>866</v>
      </c>
      <c r="H840">
        <f>SUBTOTAL(103,PT_ORDER_DATA[Ship Country])</f>
        <v>830</v>
      </c>
    </row>
  </sheetData>
  <mergeCells count="1">
    <mergeCell ref="B1:G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EXCEL 103 PRACTICE</vt:lpstr>
      <vt:lpstr>IF FUNCTION 01 Practice</vt:lpstr>
      <vt:lpstr>VLOOKUP FUNCTION Practice</vt:lpstr>
      <vt:lpstr>CUSTOMER INFO</vt:lpstr>
      <vt:lpstr>LEFT RIGHT MID Practice</vt:lpstr>
      <vt:lpstr>SUMIF Practice</vt:lpstr>
      <vt:lpstr>Sheet1</vt:lpstr>
      <vt:lpstr>Sheet2</vt:lpstr>
      <vt:lpstr>Sheet3</vt:lpstr>
      <vt:lpstr>Shipping Cost</vt:lpstr>
      <vt:lpstr>Sheet4</vt:lpstr>
      <vt:lpstr>Pivotables</vt:lpstr>
      <vt:lpstr>ratings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Ajibade omotola</cp:lastModifiedBy>
  <dcterms:created xsi:type="dcterms:W3CDTF">2020-03-17T20:42:07Z</dcterms:created>
  <dcterms:modified xsi:type="dcterms:W3CDTF">2026-02-26T14:06:41Z</dcterms:modified>
</cp:coreProperties>
</file>