
<file path=[Content_Types].xml><?xml version="1.0" encoding="utf-8"?>
<Types xmlns="http://schemas.openxmlformats.org/package/2006/content-types">
  <Default Extension="bin" ContentType="application/vnd.openxmlformats-officedocument.spreadsheetml.printerSettings"/>
  <Default Extension="glb" ContentType="model/gltf.binary"/>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Mac\Home\Documents\"/>
    </mc:Choice>
  </mc:AlternateContent>
  <xr:revisionPtr revIDLastSave="0" documentId="8_{B4D084F4-5CB8-450D-A7A9-8359FC91F12C}" xr6:coauthVersionLast="47" xr6:coauthVersionMax="47" xr10:uidLastSave="{00000000-0000-0000-0000-000000000000}"/>
  <bookViews>
    <workbookView xWindow="-98" yWindow="-98" windowWidth="21795" windowHeight="12975" activeTab="1" xr2:uid="{F2A38DF7-D142-4480-B61B-03F3913910D4}"/>
  </bookViews>
  <sheets>
    <sheet name="Analyze" sheetId="2" r:id="rId1"/>
    <sheet name="Dashboard" sheetId="3" r:id="rId2"/>
    <sheet name="HP_Nigeria_Sales_Data.xlsx" sheetId="1" r:id="rId3"/>
  </sheets>
  <definedNames>
    <definedName name="NativeTimeline_Date">#N/A</definedName>
    <definedName name="Slicer_Product">#N/A</definedName>
    <definedName name="Slicer_Region">#N/A</definedName>
    <definedName name="Slicer_Salespers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2" i="3" l="1"/>
  <c r="C22" i="3"/>
  <c r="D22" i="3"/>
  <c r="E22" i="3"/>
  <c r="F22" i="3"/>
  <c r="G22" i="3"/>
  <c r="B23" i="3"/>
  <c r="C23" i="3"/>
  <c r="D23" i="3"/>
  <c r="E23" i="3"/>
  <c r="F23" i="3"/>
  <c r="G23" i="3"/>
  <c r="B24" i="3"/>
  <c r="C24" i="3"/>
  <c r="D24" i="3"/>
  <c r="E24" i="3"/>
  <c r="F24" i="3"/>
  <c r="G24" i="3"/>
  <c r="B25" i="3"/>
  <c r="C25" i="3"/>
  <c r="D25" i="3"/>
  <c r="E25" i="3"/>
  <c r="F25" i="3"/>
  <c r="G25" i="3"/>
  <c r="B26" i="3"/>
  <c r="C26" i="3"/>
  <c r="D26" i="3"/>
  <c r="E26" i="3"/>
  <c r="F26" i="3"/>
  <c r="G26" i="3"/>
  <c r="B27" i="3"/>
  <c r="C27" i="3"/>
  <c r="D27" i="3"/>
  <c r="E27" i="3"/>
  <c r="F27" i="3"/>
  <c r="G27" i="3"/>
  <c r="B28" i="3"/>
  <c r="C28" i="3"/>
  <c r="D28" i="3"/>
  <c r="E28" i="3"/>
  <c r="F28" i="3"/>
  <c r="G28" i="3"/>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2" i="1"/>
</calcChain>
</file>

<file path=xl/sharedStrings.xml><?xml version="1.0" encoding="utf-8"?>
<sst xmlns="http://schemas.openxmlformats.org/spreadsheetml/2006/main" count="430" uniqueCount="37">
  <si>
    <t>Date</t>
  </si>
  <si>
    <t>Region</t>
  </si>
  <si>
    <t>Salesperson</t>
  </si>
  <si>
    <t>Product</t>
  </si>
  <si>
    <t>Cost</t>
  </si>
  <si>
    <t>Units Sold</t>
  </si>
  <si>
    <t>Unit Price</t>
  </si>
  <si>
    <t>South</t>
  </si>
  <si>
    <t>Ada</t>
  </si>
  <si>
    <t>Printer</t>
  </si>
  <si>
    <t>North</t>
  </si>
  <si>
    <t>Efe</t>
  </si>
  <si>
    <t>Mouse</t>
  </si>
  <si>
    <t>West</t>
  </si>
  <si>
    <t>Bola</t>
  </si>
  <si>
    <t>Monitor</t>
  </si>
  <si>
    <t>Headset</t>
  </si>
  <si>
    <t>Chidi</t>
  </si>
  <si>
    <t>Musa</t>
  </si>
  <si>
    <t>Laptop</t>
  </si>
  <si>
    <t>East</t>
  </si>
  <si>
    <t>Grace</t>
  </si>
  <si>
    <t>Keyboard</t>
  </si>
  <si>
    <t>Row Labels</t>
  </si>
  <si>
    <t>Grand Total</t>
  </si>
  <si>
    <t>Sales</t>
  </si>
  <si>
    <t>Profit</t>
  </si>
  <si>
    <t>Sum of Sales</t>
  </si>
  <si>
    <t>Sum of Profit</t>
  </si>
  <si>
    <t>Column Labels</t>
  </si>
  <si>
    <t>Jan</t>
  </si>
  <si>
    <t>Feb</t>
  </si>
  <si>
    <t>Mar</t>
  </si>
  <si>
    <t>Apr</t>
  </si>
  <si>
    <t>May</t>
  </si>
  <si>
    <t>Jun</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</si>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</sst>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6A]#,##0.0"/>
    <numFmt numFmtId="165" formatCode="[$₦-46A]#,##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22"/>
      <color theme="1"/>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96D6"/>
        <bgColor indexed="64"/>
      </patternFill>
    </fill>
    <fill>
      <patternFill patternType="solid">
        <fgColor rgb="FFA7D3F3"/>
        <bgColor indexed="64"/>
      </patternFill>
    </fill>
    <fill>
      <patternFill patternType="solid">
        <fgColor theme="0" tint="-0.499984740745262"/>
        <bgColor indexed="64"/>
      </patternFill>
    </fill>
    <fill>
      <patternFill patternType="solid">
        <fgColor theme="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22" fontId="0" fillId="0" borderId="0" xfId="0" applyNumberFormat="1"/>
    <xf numFmtId="0" fontId="16" fillId="0" borderId="10" xfId="0" applyFont="1" applyBorder="1"/>
    <xf numFmtId="0" fontId="0" fillId="0" borderId="0" xfId="0" pivotButton="1"/>
    <xf numFmtId="0" fontId="0" fillId="0" borderId="0" xfId="0" applyAlignment="1">
      <alignment horizontal="left"/>
    </xf>
    <xf numFmtId="0" fontId="18" fillId="34" borderId="0" xfId="0" applyFont="1" applyFill="1"/>
    <xf numFmtId="164" fontId="18" fillId="34" borderId="0" xfId="0" applyNumberFormat="1" applyFont="1" applyFill="1"/>
    <xf numFmtId="0" fontId="18" fillId="33" borderId="0" xfId="0" applyFont="1" applyFill="1"/>
    <xf numFmtId="164" fontId="18" fillId="33" borderId="0" xfId="0" applyNumberFormat="1" applyFont="1" applyFill="1"/>
    <xf numFmtId="165" fontId="0" fillId="0" borderId="0" xfId="0" applyNumberFormat="1"/>
    <xf numFmtId="0" fontId="0" fillId="35" borderId="0" xfId="0" applyFill="1"/>
    <xf numFmtId="0" fontId="0" fillId="36"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numFmt numFmtId="165" formatCode="[$₦-46A]#,##0"/>
    </dxf>
    <dxf>
      <numFmt numFmtId="165" formatCode="[$₦-46A]#,##0"/>
    </dxf>
    <dxf>
      <numFmt numFmtId="165" formatCode="[$₦-46A]#,##0"/>
    </dxf>
    <dxf>
      <numFmt numFmtId="165" formatCode="[$₦-46A]#,##0"/>
    </dxf>
    <dxf>
      <numFmt numFmtId="168" formatCode="&quot;$&quot;#,##0.00"/>
    </dxf>
    <dxf>
      <numFmt numFmtId="165" formatCode="[$₦-46A]#,##0"/>
    </dxf>
    <dxf>
      <numFmt numFmtId="165" formatCode="[$₦-46A]#,##0"/>
    </dxf>
    <dxf>
      <numFmt numFmtId="165" formatCode="[$₦-46A]#,##0"/>
    </dxf>
    <dxf>
      <numFmt numFmtId="165" formatCode="[$₦-46A]#,##0"/>
    </dxf>
  </dxfs>
  <tableStyles count="0" defaultTableStyle="TableStyleMedium2" defaultPivotStyle="PivotStyleLight16"/>
  <colors>
    <mruColors>
      <color rgb="FFEAEAEA"/>
      <color rgb="FFA6A6A6"/>
      <color rgb="FFD9D9D9"/>
      <color rgb="FF4D4D4F"/>
      <color rgb="FF0096D6"/>
      <color rgb="FF003B6F"/>
      <color rgb="FFA7D3F3"/>
      <color rgb="FFF2F2F2"/>
      <color rgb="FFD9D9D6"/>
      <color rgb="FF00B0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[Omotola_HP_Sales_Dashboard.xIsx.xlsx]Analyze!PivotTable9</c:name>
    <c:fmtId val="6"/>
  </c:pivotSource>
  <c:chart>
    <c:title>
      <c:tx>
        <c:rich>
          <a:bodyPr rot="0" spcFirstLastPara="1" vertOverflow="ellipsis" vert="horz" wrap="square" anchor="ctr" anchorCtr="1"/>
          <a:lstStyle/>
          <a:p>
            <a:pPr>
              <a:defRPr sz="1400" b="1" i="0" u="none" strike="noStrike" kern="1200" spc="0" baseline="0">
                <a:ln>
                  <a:noFill/>
                </a:ln>
                <a:solidFill>
                  <a:srgbClr val="0096D6"/>
                </a:solidFill>
                <a:latin typeface="Calibri" panose="020F0502020204030204" pitchFamily="34" charset="0"/>
                <a:ea typeface="Calibri" panose="020F0502020204030204" pitchFamily="34" charset="0"/>
                <a:cs typeface="Calibri" panose="020F0502020204030204" pitchFamily="34" charset="0"/>
              </a:defRPr>
            </a:pPr>
            <a:r>
              <a:rPr lang="en-US" b="1">
                <a:solidFill>
                  <a:srgbClr val="0096D6"/>
                </a:solidFill>
                <a:latin typeface="Calibri" panose="020F0502020204030204" pitchFamily="34" charset="0"/>
                <a:ea typeface="Calibri" panose="020F0502020204030204" pitchFamily="34" charset="0"/>
                <a:cs typeface="Calibri" panose="020F0502020204030204" pitchFamily="34" charset="0"/>
              </a:rPr>
              <a:t>Sales</a:t>
            </a:r>
            <a:r>
              <a:rPr lang="en-US" b="1" baseline="0">
                <a:solidFill>
                  <a:srgbClr val="0096D6"/>
                </a:solidFill>
                <a:latin typeface="Calibri" panose="020F0502020204030204" pitchFamily="34" charset="0"/>
                <a:ea typeface="Calibri" panose="020F0502020204030204" pitchFamily="34" charset="0"/>
                <a:cs typeface="Calibri" panose="020F0502020204030204" pitchFamily="34" charset="0"/>
              </a:rPr>
              <a:t> and Profit by Region</a:t>
            </a:r>
            <a:endParaRPr lang="en-US" b="1">
              <a:solidFill>
                <a:srgbClr val="0096D6"/>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32989978923753055"/>
          <c:y val="6.3538754942662395E-2"/>
        </c:manualLayout>
      </c:layout>
      <c:overlay val="0"/>
      <c:spPr>
        <a:noFill/>
        <a:ln>
          <a:noFill/>
        </a:ln>
        <a:effectLst/>
      </c:spPr>
      <c:txPr>
        <a:bodyPr rot="0" spcFirstLastPara="1" vertOverflow="ellipsis" vert="horz" wrap="square" anchor="ctr" anchorCtr="1"/>
        <a:lstStyle/>
        <a:p>
          <a:pPr>
            <a:defRPr sz="1400" b="1" i="0" u="none" strike="noStrike" kern="1200" spc="0" baseline="0">
              <a:ln>
                <a:noFill/>
              </a:ln>
              <a:solidFill>
                <a:srgbClr val="0096D6"/>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3"/>
        <c:spPr>
          <a:solidFill>
            <a:srgbClr val="0096D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4"/>
        <c:spPr>
          <a:solidFill>
            <a:srgbClr val="003B6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5"/>
        <c:spPr>
          <a:solidFill>
            <a:srgbClr val="0096D6"/>
          </a:solidFill>
          <a:ln>
            <a:noFill/>
          </a:ln>
          <a:effectLst/>
        </c:spPr>
      </c:pivotFmt>
      <c:pivotFmt>
        <c:idx val="916"/>
        <c:spPr>
          <a:solidFill>
            <a:srgbClr val="0096D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7"/>
        <c:spPr>
          <a:solidFill>
            <a:srgbClr val="003B6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Analyze!$B$3</c:f>
              <c:strCache>
                <c:ptCount val="1"/>
                <c:pt idx="0">
                  <c:v>Sum of Sales</c:v>
                </c:pt>
              </c:strCache>
            </c:strRef>
          </c:tx>
          <c:spPr>
            <a:solidFill>
              <a:srgbClr val="0096D6"/>
            </a:solidFill>
            <a:ln>
              <a:noFill/>
            </a:ln>
            <a:effectLst/>
          </c:spPr>
          <c:invertIfNegative val="0"/>
          <c:cat>
            <c:strRef>
              <c:f>Analyze!$A$4:$A$8</c:f>
              <c:strCache>
                <c:ptCount val="4"/>
                <c:pt idx="0">
                  <c:v>East</c:v>
                </c:pt>
                <c:pt idx="1">
                  <c:v>North</c:v>
                </c:pt>
                <c:pt idx="2">
                  <c:v>South</c:v>
                </c:pt>
                <c:pt idx="3">
                  <c:v>West</c:v>
                </c:pt>
              </c:strCache>
            </c:strRef>
          </c:cat>
          <c:val>
            <c:numRef>
              <c:f>Analyze!$B$4:$B$8</c:f>
              <c:numCache>
                <c:formatCode>[$₦-46A]#,##0</c:formatCode>
                <c:ptCount val="4"/>
                <c:pt idx="0">
                  <c:v>28850000</c:v>
                </c:pt>
                <c:pt idx="1">
                  <c:v>26320000</c:v>
                </c:pt>
                <c:pt idx="2">
                  <c:v>22220000</c:v>
                </c:pt>
                <c:pt idx="3">
                  <c:v>22835000</c:v>
                </c:pt>
              </c:numCache>
            </c:numRef>
          </c:val>
          <c:extLst>
            <c:ext xmlns:c16="http://schemas.microsoft.com/office/drawing/2014/chart" uri="{C3380CC4-5D6E-409C-BE32-E72D297353CC}">
              <c16:uniqueId val="{00000000-6BA7-46D5-BC1B-2816E63B83CC}"/>
            </c:ext>
          </c:extLst>
        </c:ser>
        <c:ser>
          <c:idx val="1"/>
          <c:order val="1"/>
          <c:tx>
            <c:strRef>
              <c:f>Analyze!$C$3</c:f>
              <c:strCache>
                <c:ptCount val="1"/>
                <c:pt idx="0">
                  <c:v>Sum of Profit</c:v>
                </c:pt>
              </c:strCache>
            </c:strRef>
          </c:tx>
          <c:spPr>
            <a:solidFill>
              <a:srgbClr val="003B6F"/>
            </a:solidFill>
            <a:ln>
              <a:noFill/>
            </a:ln>
            <a:effectLst/>
          </c:spPr>
          <c:invertIfNegative val="0"/>
          <c:cat>
            <c:strRef>
              <c:f>Analyze!$A$4:$A$8</c:f>
              <c:strCache>
                <c:ptCount val="4"/>
                <c:pt idx="0">
                  <c:v>East</c:v>
                </c:pt>
                <c:pt idx="1">
                  <c:v>North</c:v>
                </c:pt>
                <c:pt idx="2">
                  <c:v>South</c:v>
                </c:pt>
                <c:pt idx="3">
                  <c:v>West</c:v>
                </c:pt>
              </c:strCache>
            </c:strRef>
          </c:cat>
          <c:val>
            <c:numRef>
              <c:f>Analyze!$C$4:$C$8</c:f>
              <c:numCache>
                <c:formatCode>[$₦-46A]#,##0</c:formatCode>
                <c:ptCount val="4"/>
                <c:pt idx="0">
                  <c:v>28765605</c:v>
                </c:pt>
                <c:pt idx="1">
                  <c:v>26212554</c:v>
                </c:pt>
                <c:pt idx="2">
                  <c:v>22145162</c:v>
                </c:pt>
                <c:pt idx="3">
                  <c:v>22705432</c:v>
                </c:pt>
              </c:numCache>
            </c:numRef>
          </c:val>
          <c:extLst>
            <c:ext xmlns:c16="http://schemas.microsoft.com/office/drawing/2014/chart" uri="{C3380CC4-5D6E-409C-BE32-E72D297353CC}">
              <c16:uniqueId val="{00000001-6BA7-46D5-BC1B-2816E63B83CC}"/>
            </c:ext>
          </c:extLst>
        </c:ser>
        <c:dLbls>
          <c:showLegendKey val="0"/>
          <c:showVal val="0"/>
          <c:showCatName val="0"/>
          <c:showSerName val="0"/>
          <c:showPercent val="0"/>
          <c:showBubbleSize val="0"/>
        </c:dLbls>
        <c:gapWidth val="219"/>
        <c:overlap val="-27"/>
        <c:axId val="228357472"/>
        <c:axId val="228352672"/>
      </c:barChart>
      <c:catAx>
        <c:axId val="228357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rgbClr val="000000"/>
                </a:solidFill>
                <a:latin typeface="+mn-lt"/>
                <a:ea typeface="+mn-ea"/>
                <a:cs typeface="+mn-cs"/>
              </a:defRPr>
            </a:pPr>
            <a:endParaRPr lang="en-US"/>
          </a:p>
        </c:txPr>
        <c:crossAx val="228352672"/>
        <c:crosses val="autoZero"/>
        <c:auto val="1"/>
        <c:lblAlgn val="ctr"/>
        <c:lblOffset val="100"/>
        <c:noMultiLvlLbl val="0"/>
      </c:catAx>
      <c:valAx>
        <c:axId val="228352672"/>
        <c:scaling>
          <c:orientation val="minMax"/>
        </c:scaling>
        <c:delete val="0"/>
        <c:axPos val="l"/>
        <c:majorGridlines>
          <c:spPr>
            <a:ln w="9525" cap="flat" cmpd="sng" algn="ctr">
              <a:solidFill>
                <a:schemeClr val="tx1">
                  <a:lumMod val="15000"/>
                  <a:lumOff val="85000"/>
                </a:schemeClr>
              </a:solidFill>
              <a:round/>
            </a:ln>
            <a:effectLst/>
          </c:spPr>
        </c:majorGridlines>
        <c:numFmt formatCode="[$₦-46A]#,##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rgbClr val="000000"/>
                </a:solidFill>
                <a:latin typeface="+mn-lt"/>
                <a:ea typeface="+mn-ea"/>
                <a:cs typeface="+mn-cs"/>
              </a:defRPr>
            </a:pPr>
            <a:endParaRPr lang="en-US"/>
          </a:p>
        </c:txPr>
        <c:crossAx val="228357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rgbClr val="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E6E6E6"/>
      </a:solidFill>
      <a:round/>
    </a:ln>
    <a:effectLst/>
  </c:spPr>
  <c:txPr>
    <a:bodyPr/>
    <a:lstStyle/>
    <a:p>
      <a:pPr>
        <a:defRPr>
          <a:ln>
            <a:noFill/>
          </a:ln>
          <a:solidFill>
            <a:srgbClr val="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[Omotola_HP_Sales_Dashboard.xIsx.xlsx]Analyze!PivotTable11</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400" b="1" i="0" u="none" strike="noStrike" kern="1200" spc="0" baseline="0">
                <a:ln>
                  <a:noFill/>
                </a:ln>
                <a:solidFill>
                  <a:srgbClr val="0096D6"/>
                </a:solidFill>
                <a:latin typeface="Calibri" panose="020F0502020204030204" pitchFamily="34" charset="0"/>
                <a:ea typeface="Calibri" panose="020F0502020204030204" pitchFamily="34" charset="0"/>
                <a:cs typeface="Calibri" panose="020F0502020204030204" pitchFamily="34" charset="0"/>
              </a:defRPr>
            </a:pPr>
            <a:r>
              <a:rPr lang="en-US" sz="1400" b="1" i="0" u="none" strike="noStrike" kern="1200" spc="0" baseline="0">
                <a:ln>
                  <a:noFill/>
                </a:ln>
                <a:solidFill>
                  <a:srgbClr val="0096D6"/>
                </a:solidFill>
                <a:latin typeface="Calibri" panose="020F0502020204030204" pitchFamily="34" charset="0"/>
                <a:ea typeface="Calibri" panose="020F0502020204030204" pitchFamily="34" charset="0"/>
                <a:cs typeface="Calibri" panose="020F0502020204030204" pitchFamily="34" charset="0"/>
              </a:rPr>
              <a:t>Top 3 Performing Salespersons by Profit</a:t>
            </a:r>
          </a:p>
          <a:p>
            <a:pPr marL="0" marR="0" lvl="0" indent="0" algn="ctr" defTabSz="914400" rtl="0" eaLnBrk="1" fontAlgn="auto" latinLnBrk="0" hangingPunct="1">
              <a:lnSpc>
                <a:spcPct val="100000"/>
              </a:lnSpc>
              <a:spcBef>
                <a:spcPts val="0"/>
              </a:spcBef>
              <a:spcAft>
                <a:spcPts val="0"/>
              </a:spcAft>
              <a:buClrTx/>
              <a:buSzTx/>
              <a:buFontTx/>
              <a:buNone/>
              <a:tabLst/>
              <a:defRPr lang="en-US" b="1">
                <a:ln>
                  <a:noFill/>
                </a:ln>
                <a:solidFill>
                  <a:srgbClr val="0096D6"/>
                </a:solidFill>
                <a:latin typeface="Calibri" panose="020F0502020204030204" pitchFamily="34" charset="0"/>
                <a:ea typeface="Calibri" panose="020F0502020204030204" pitchFamily="34" charset="0"/>
                <a:cs typeface="Calibri" panose="020F0502020204030204" pitchFamily="34" charset="0"/>
              </a:defRPr>
            </a:pPr>
            <a:endParaRPr lang="en-US" sz="1400" b="1" i="0" u="none" strike="noStrike" kern="1200" spc="0" baseline="0">
              <a:ln>
                <a:noFill/>
              </a:ln>
              <a:solidFill>
                <a:srgbClr val="0096D6"/>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20698144930192552"/>
          <c:y val="5.6288054445455628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400" b="1" i="0" u="none" strike="noStrike" kern="1200" spc="0" baseline="0">
              <a:ln>
                <a:noFill/>
              </a:ln>
              <a:solidFill>
                <a:srgbClr val="0096D6"/>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rgbClr val="0096D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96D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Analyze!$B$11</c:f>
              <c:strCache>
                <c:ptCount val="1"/>
                <c:pt idx="0">
                  <c:v>Total</c:v>
                </c:pt>
              </c:strCache>
            </c:strRef>
          </c:tx>
          <c:spPr>
            <a:solidFill>
              <a:srgbClr val="0096D6"/>
            </a:solidFill>
            <a:ln>
              <a:noFill/>
            </a:ln>
            <a:effectLst/>
          </c:spPr>
          <c:invertIfNegative val="0"/>
          <c:cat>
            <c:strRef>
              <c:f>Analyze!$A$12:$A$18</c:f>
              <c:strCache>
                <c:ptCount val="6"/>
                <c:pt idx="0">
                  <c:v>Ada</c:v>
                </c:pt>
                <c:pt idx="1">
                  <c:v>Bola</c:v>
                </c:pt>
                <c:pt idx="2">
                  <c:v>Chidi</c:v>
                </c:pt>
                <c:pt idx="3">
                  <c:v>Efe</c:v>
                </c:pt>
                <c:pt idx="4">
                  <c:v>Grace</c:v>
                </c:pt>
                <c:pt idx="5">
                  <c:v>Musa</c:v>
                </c:pt>
              </c:strCache>
            </c:strRef>
          </c:cat>
          <c:val>
            <c:numRef>
              <c:f>Analyze!$B$12:$B$18</c:f>
              <c:numCache>
                <c:formatCode>[$₦-46A]#,##0</c:formatCode>
                <c:ptCount val="6"/>
                <c:pt idx="0">
                  <c:v>10585193</c:v>
                </c:pt>
                <c:pt idx="1">
                  <c:v>15696626</c:v>
                </c:pt>
                <c:pt idx="2">
                  <c:v>17340349</c:v>
                </c:pt>
                <c:pt idx="3">
                  <c:v>21246209</c:v>
                </c:pt>
                <c:pt idx="4">
                  <c:v>13648860</c:v>
                </c:pt>
                <c:pt idx="5">
                  <c:v>21311516</c:v>
                </c:pt>
              </c:numCache>
            </c:numRef>
          </c:val>
          <c:extLst>
            <c:ext xmlns:c16="http://schemas.microsoft.com/office/drawing/2014/chart" uri="{C3380CC4-5D6E-409C-BE32-E72D297353CC}">
              <c16:uniqueId val="{00000000-D7D6-4386-9579-67ADCF90B1E1}"/>
            </c:ext>
          </c:extLst>
        </c:ser>
        <c:dLbls>
          <c:showLegendKey val="0"/>
          <c:showVal val="0"/>
          <c:showCatName val="0"/>
          <c:showSerName val="0"/>
          <c:showPercent val="0"/>
          <c:showBubbleSize val="0"/>
        </c:dLbls>
        <c:gapWidth val="219"/>
        <c:axId val="891884112"/>
        <c:axId val="891894672"/>
      </c:barChart>
      <c:catAx>
        <c:axId val="891884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1894672"/>
        <c:crosses val="autoZero"/>
        <c:auto val="1"/>
        <c:lblAlgn val="ctr"/>
        <c:lblOffset val="100"/>
        <c:noMultiLvlLbl val="0"/>
      </c:catAx>
      <c:valAx>
        <c:axId val="891894672"/>
        <c:scaling>
          <c:orientation val="minMax"/>
        </c:scaling>
        <c:delete val="0"/>
        <c:axPos val="b"/>
        <c:majorGridlines>
          <c:spPr>
            <a:ln w="9525" cap="flat" cmpd="sng" algn="ctr">
              <a:solidFill>
                <a:schemeClr val="tx1">
                  <a:lumMod val="15000"/>
                  <a:lumOff val="85000"/>
                </a:schemeClr>
              </a:solidFill>
              <a:round/>
            </a:ln>
            <a:effectLst/>
          </c:spPr>
        </c:majorGridlines>
        <c:numFmt formatCode="[$₦-46A]#,##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1884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E6E6E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[Omotola_HP_Sales_Dashboard.xIsx.xlsx]Analyze!PivotTable12</c:name>
    <c:fmtId val="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400" b="1" i="0" u="none" strike="noStrike" kern="1200" spc="0" baseline="0">
                <a:ln>
                  <a:noFill/>
                </a:ln>
                <a:solidFill>
                  <a:srgbClr val="0096D6"/>
                </a:solidFill>
                <a:latin typeface="Calibri" panose="020F0502020204030204" pitchFamily="34" charset="0"/>
                <a:ea typeface="Calibri" panose="020F0502020204030204" pitchFamily="34" charset="0"/>
                <a:cs typeface="Calibri" panose="020F0502020204030204" pitchFamily="34" charset="0"/>
              </a:defRPr>
            </a:pPr>
            <a:r>
              <a:rPr lang="en-US" sz="1400" b="1" i="0" u="none" strike="noStrike" kern="1200" spc="0" baseline="0">
                <a:ln>
                  <a:noFill/>
                </a:ln>
                <a:solidFill>
                  <a:srgbClr val="0096D6"/>
                </a:solidFill>
                <a:latin typeface="Calibri" panose="020F0502020204030204" pitchFamily="34" charset="0"/>
                <a:ea typeface="Calibri" panose="020F0502020204030204" pitchFamily="34" charset="0"/>
                <a:cs typeface="Calibri" panose="020F0502020204030204" pitchFamily="34" charset="0"/>
              </a:rPr>
              <a:t>Product Contributing the Most to Overall Sales Across All Regions</a:t>
            </a:r>
          </a:p>
          <a:p>
            <a:pPr marL="0" marR="0" lvl="0" indent="0" algn="ctr" defTabSz="914400" rtl="0" eaLnBrk="1" fontAlgn="auto" latinLnBrk="0" hangingPunct="1">
              <a:lnSpc>
                <a:spcPct val="100000"/>
              </a:lnSpc>
              <a:spcBef>
                <a:spcPts val="0"/>
              </a:spcBef>
              <a:spcAft>
                <a:spcPts val="0"/>
              </a:spcAft>
              <a:buClrTx/>
              <a:buSzTx/>
              <a:buFontTx/>
              <a:buNone/>
              <a:tabLst/>
              <a:defRPr lang="en-US" b="1">
                <a:ln>
                  <a:noFill/>
                </a:ln>
                <a:solidFill>
                  <a:srgbClr val="0096D6"/>
                </a:solidFill>
                <a:latin typeface="Calibri" panose="020F0502020204030204" pitchFamily="34" charset="0"/>
                <a:ea typeface="Calibri" panose="020F0502020204030204" pitchFamily="34" charset="0"/>
                <a:cs typeface="Calibri" panose="020F0502020204030204" pitchFamily="34" charset="0"/>
              </a:defRPr>
            </a:pPr>
            <a:endParaRPr lang="en-US" sz="1400" b="1" i="0" u="none" strike="noStrike" kern="1200" spc="0" baseline="0">
              <a:ln>
                <a:noFill/>
              </a:ln>
              <a:solidFill>
                <a:srgbClr val="0096D6"/>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17329279958122973"/>
          <c:y val="3.2321220901052307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400" b="1" i="0" u="none" strike="noStrike" kern="1200" spc="0" baseline="0">
              <a:ln>
                <a:noFill/>
              </a:ln>
              <a:solidFill>
                <a:srgbClr val="0096D6"/>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A7D3F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3B6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96D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A7D3F3"/>
          </a:solidFill>
          <a:ln>
            <a:noFill/>
          </a:ln>
          <a:effectLst/>
        </c:spPr>
      </c:pivotFmt>
      <c:pivotFmt>
        <c:idx val="5"/>
        <c:spPr>
          <a:solidFill>
            <a:srgbClr val="A7D3F3"/>
          </a:solidFill>
          <a:ln>
            <a:noFill/>
          </a:ln>
          <a:effectLst/>
        </c:spPr>
      </c:pivotFmt>
      <c:pivotFmt>
        <c:idx val="6"/>
        <c:spPr>
          <a:solidFill>
            <a:srgbClr val="A7D3F3"/>
          </a:solidFill>
          <a:ln>
            <a:noFill/>
          </a:ln>
          <a:effectLst/>
        </c:spPr>
      </c:pivotFmt>
      <c:pivotFmt>
        <c:idx val="7"/>
        <c:spPr>
          <a:solidFill>
            <a:srgbClr val="A7D3F3"/>
          </a:solidFill>
          <a:ln>
            <a:noFill/>
          </a:ln>
          <a:effectLst/>
        </c:spPr>
      </c:pivotFmt>
      <c:pivotFmt>
        <c:idx val="8"/>
        <c:spPr>
          <a:solidFill>
            <a:srgbClr val="A7D3F3"/>
          </a:solidFill>
          <a:ln>
            <a:noFill/>
          </a:ln>
          <a:effectLst/>
        </c:spPr>
      </c:pivotFmt>
      <c:pivotFmt>
        <c:idx val="9"/>
        <c:spPr>
          <a:solidFill>
            <a:srgbClr val="4D4D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4D4D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A7D3F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003B6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0096D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Analyze!$B$21:$B$22</c:f>
              <c:strCache>
                <c:ptCount val="1"/>
                <c:pt idx="0">
                  <c:v>East</c:v>
                </c:pt>
              </c:strCache>
            </c:strRef>
          </c:tx>
          <c:spPr>
            <a:solidFill>
              <a:srgbClr val="4D4D4F"/>
            </a:solidFill>
            <a:ln>
              <a:noFill/>
            </a:ln>
            <a:effectLst/>
          </c:spPr>
          <c:invertIfNegative val="0"/>
          <c:cat>
            <c:strRef>
              <c:f>Analyze!$A$23:$A$29</c:f>
              <c:strCache>
                <c:ptCount val="6"/>
                <c:pt idx="0">
                  <c:v>Headset</c:v>
                </c:pt>
                <c:pt idx="1">
                  <c:v>Keyboard</c:v>
                </c:pt>
                <c:pt idx="2">
                  <c:v>Laptop</c:v>
                </c:pt>
                <c:pt idx="3">
                  <c:v>Monitor</c:v>
                </c:pt>
                <c:pt idx="4">
                  <c:v>Mouse</c:v>
                </c:pt>
                <c:pt idx="5">
                  <c:v>Printer</c:v>
                </c:pt>
              </c:strCache>
            </c:strRef>
          </c:cat>
          <c:val>
            <c:numRef>
              <c:f>Analyze!$B$23:$B$29</c:f>
              <c:numCache>
                <c:formatCode>[$₦-46A]#,##0</c:formatCode>
                <c:ptCount val="6"/>
                <c:pt idx="0">
                  <c:v>7280000</c:v>
                </c:pt>
                <c:pt idx="1">
                  <c:v>85000</c:v>
                </c:pt>
                <c:pt idx="2">
                  <c:v>4155000</c:v>
                </c:pt>
                <c:pt idx="3">
                  <c:v>4995000</c:v>
                </c:pt>
                <c:pt idx="4">
                  <c:v>2815000</c:v>
                </c:pt>
                <c:pt idx="5">
                  <c:v>9520000</c:v>
                </c:pt>
              </c:numCache>
            </c:numRef>
          </c:val>
          <c:extLst>
            <c:ext xmlns:c16="http://schemas.microsoft.com/office/drawing/2014/chart" uri="{C3380CC4-5D6E-409C-BE32-E72D297353CC}">
              <c16:uniqueId val="{00000000-F28C-417C-802A-2881D5518468}"/>
            </c:ext>
          </c:extLst>
        </c:ser>
        <c:ser>
          <c:idx val="1"/>
          <c:order val="1"/>
          <c:tx>
            <c:strRef>
              <c:f>Analyze!$C$21:$C$22</c:f>
              <c:strCache>
                <c:ptCount val="1"/>
                <c:pt idx="0">
                  <c:v>North</c:v>
                </c:pt>
              </c:strCache>
            </c:strRef>
          </c:tx>
          <c:spPr>
            <a:solidFill>
              <a:srgbClr val="A7D3F3"/>
            </a:solidFill>
            <a:ln>
              <a:noFill/>
            </a:ln>
            <a:effectLst/>
          </c:spPr>
          <c:invertIfNegative val="0"/>
          <c:cat>
            <c:strRef>
              <c:f>Analyze!$A$23:$A$29</c:f>
              <c:strCache>
                <c:ptCount val="6"/>
                <c:pt idx="0">
                  <c:v>Headset</c:v>
                </c:pt>
                <c:pt idx="1">
                  <c:v>Keyboard</c:v>
                </c:pt>
                <c:pt idx="2">
                  <c:v>Laptop</c:v>
                </c:pt>
                <c:pt idx="3">
                  <c:v>Monitor</c:v>
                </c:pt>
                <c:pt idx="4">
                  <c:v>Mouse</c:v>
                </c:pt>
                <c:pt idx="5">
                  <c:v>Printer</c:v>
                </c:pt>
              </c:strCache>
            </c:strRef>
          </c:cat>
          <c:val>
            <c:numRef>
              <c:f>Analyze!$C$23:$C$29</c:f>
              <c:numCache>
                <c:formatCode>[$₦-46A]#,##0</c:formatCode>
                <c:ptCount val="6"/>
                <c:pt idx="0">
                  <c:v>1355000</c:v>
                </c:pt>
                <c:pt idx="1">
                  <c:v>6765000</c:v>
                </c:pt>
                <c:pt idx="2">
                  <c:v>6200000</c:v>
                </c:pt>
                <c:pt idx="3">
                  <c:v>1510000</c:v>
                </c:pt>
                <c:pt idx="4">
                  <c:v>10020000</c:v>
                </c:pt>
                <c:pt idx="5">
                  <c:v>470000</c:v>
                </c:pt>
              </c:numCache>
            </c:numRef>
          </c:val>
          <c:extLst>
            <c:ext xmlns:c16="http://schemas.microsoft.com/office/drawing/2014/chart" uri="{C3380CC4-5D6E-409C-BE32-E72D297353CC}">
              <c16:uniqueId val="{00000001-F28C-417C-802A-2881D5518468}"/>
            </c:ext>
          </c:extLst>
        </c:ser>
        <c:ser>
          <c:idx val="2"/>
          <c:order val="2"/>
          <c:tx>
            <c:strRef>
              <c:f>Analyze!$D$21:$D$22</c:f>
              <c:strCache>
                <c:ptCount val="1"/>
                <c:pt idx="0">
                  <c:v>South</c:v>
                </c:pt>
              </c:strCache>
            </c:strRef>
          </c:tx>
          <c:spPr>
            <a:solidFill>
              <a:srgbClr val="003B6F"/>
            </a:solidFill>
            <a:ln>
              <a:noFill/>
            </a:ln>
            <a:effectLst/>
          </c:spPr>
          <c:invertIfNegative val="0"/>
          <c:cat>
            <c:strRef>
              <c:f>Analyze!$A$23:$A$29</c:f>
              <c:strCache>
                <c:ptCount val="6"/>
                <c:pt idx="0">
                  <c:v>Headset</c:v>
                </c:pt>
                <c:pt idx="1">
                  <c:v>Keyboard</c:v>
                </c:pt>
                <c:pt idx="2">
                  <c:v>Laptop</c:v>
                </c:pt>
                <c:pt idx="3">
                  <c:v>Monitor</c:v>
                </c:pt>
                <c:pt idx="4">
                  <c:v>Mouse</c:v>
                </c:pt>
                <c:pt idx="5">
                  <c:v>Printer</c:v>
                </c:pt>
              </c:strCache>
            </c:strRef>
          </c:cat>
          <c:val>
            <c:numRef>
              <c:f>Analyze!$D$23:$D$29</c:f>
              <c:numCache>
                <c:formatCode>[$₦-46A]#,##0</c:formatCode>
                <c:ptCount val="6"/>
                <c:pt idx="0">
                  <c:v>9290000</c:v>
                </c:pt>
                <c:pt idx="1">
                  <c:v>4330000</c:v>
                </c:pt>
                <c:pt idx="2">
                  <c:v>340000</c:v>
                </c:pt>
                <c:pt idx="3">
                  <c:v>3365000</c:v>
                </c:pt>
                <c:pt idx="4">
                  <c:v>140000</c:v>
                </c:pt>
                <c:pt idx="5">
                  <c:v>4755000</c:v>
                </c:pt>
              </c:numCache>
            </c:numRef>
          </c:val>
          <c:extLst>
            <c:ext xmlns:c16="http://schemas.microsoft.com/office/drawing/2014/chart" uri="{C3380CC4-5D6E-409C-BE32-E72D297353CC}">
              <c16:uniqueId val="{00000002-F28C-417C-802A-2881D5518468}"/>
            </c:ext>
          </c:extLst>
        </c:ser>
        <c:ser>
          <c:idx val="3"/>
          <c:order val="3"/>
          <c:tx>
            <c:strRef>
              <c:f>Analyze!$E$21:$E$22</c:f>
              <c:strCache>
                <c:ptCount val="1"/>
                <c:pt idx="0">
                  <c:v>West</c:v>
                </c:pt>
              </c:strCache>
            </c:strRef>
          </c:tx>
          <c:spPr>
            <a:solidFill>
              <a:srgbClr val="0096D6"/>
            </a:solidFill>
            <a:ln>
              <a:noFill/>
            </a:ln>
            <a:effectLst/>
          </c:spPr>
          <c:invertIfNegative val="0"/>
          <c:cat>
            <c:strRef>
              <c:f>Analyze!$A$23:$A$29</c:f>
              <c:strCache>
                <c:ptCount val="6"/>
                <c:pt idx="0">
                  <c:v>Headset</c:v>
                </c:pt>
                <c:pt idx="1">
                  <c:v>Keyboard</c:v>
                </c:pt>
                <c:pt idx="2">
                  <c:v>Laptop</c:v>
                </c:pt>
                <c:pt idx="3">
                  <c:v>Monitor</c:v>
                </c:pt>
                <c:pt idx="4">
                  <c:v>Mouse</c:v>
                </c:pt>
                <c:pt idx="5">
                  <c:v>Printer</c:v>
                </c:pt>
              </c:strCache>
            </c:strRef>
          </c:cat>
          <c:val>
            <c:numRef>
              <c:f>Analyze!$E$23:$E$29</c:f>
              <c:numCache>
                <c:formatCode>[$₦-46A]#,##0</c:formatCode>
                <c:ptCount val="6"/>
                <c:pt idx="0">
                  <c:v>1555000</c:v>
                </c:pt>
                <c:pt idx="1">
                  <c:v>1360000</c:v>
                </c:pt>
                <c:pt idx="2">
                  <c:v>4080000</c:v>
                </c:pt>
                <c:pt idx="3">
                  <c:v>3750000</c:v>
                </c:pt>
                <c:pt idx="4">
                  <c:v>8680000</c:v>
                </c:pt>
                <c:pt idx="5">
                  <c:v>3410000</c:v>
                </c:pt>
              </c:numCache>
            </c:numRef>
          </c:val>
          <c:extLst>
            <c:ext xmlns:c16="http://schemas.microsoft.com/office/drawing/2014/chart" uri="{C3380CC4-5D6E-409C-BE32-E72D297353CC}">
              <c16:uniqueId val="{00000003-F28C-417C-802A-2881D5518468}"/>
            </c:ext>
          </c:extLst>
        </c:ser>
        <c:dLbls>
          <c:showLegendKey val="0"/>
          <c:showVal val="0"/>
          <c:showCatName val="0"/>
          <c:showSerName val="0"/>
          <c:showPercent val="0"/>
          <c:showBubbleSize val="0"/>
        </c:dLbls>
        <c:gapWidth val="219"/>
        <c:overlap val="100"/>
        <c:axId val="1059871856"/>
        <c:axId val="1059870896"/>
      </c:barChart>
      <c:catAx>
        <c:axId val="1059871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9870896"/>
        <c:crosses val="autoZero"/>
        <c:auto val="1"/>
        <c:lblAlgn val="ctr"/>
        <c:lblOffset val="100"/>
        <c:noMultiLvlLbl val="0"/>
      </c:catAx>
      <c:valAx>
        <c:axId val="1059870896"/>
        <c:scaling>
          <c:orientation val="minMax"/>
        </c:scaling>
        <c:delete val="0"/>
        <c:axPos val="l"/>
        <c:majorGridlines>
          <c:spPr>
            <a:ln w="9525" cap="flat" cmpd="sng" algn="ctr">
              <a:solidFill>
                <a:schemeClr val="tx1">
                  <a:lumMod val="15000"/>
                  <a:lumOff val="85000"/>
                </a:schemeClr>
              </a:solidFill>
              <a:round/>
            </a:ln>
            <a:effectLst/>
          </c:spPr>
        </c:majorGridlines>
        <c:numFmt formatCode="[$₦-46A]#,##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9871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[Omotola_HP_Sales_Dashboard.xIsx.xlsx]Analyze!PivotTable13</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400" b="1" i="0" u="none" strike="noStrike" kern="1200" spc="0" baseline="0">
                <a:ln>
                  <a:noFill/>
                </a:ln>
                <a:solidFill>
                  <a:srgbClr val="0096D6"/>
                </a:solidFill>
                <a:latin typeface="Calibri" panose="020F0502020204030204" pitchFamily="34" charset="0"/>
                <a:ea typeface="Calibri" panose="020F0502020204030204" pitchFamily="34" charset="0"/>
                <a:cs typeface="Calibri" panose="020F0502020204030204" pitchFamily="34" charset="0"/>
              </a:defRPr>
            </a:pPr>
            <a:r>
              <a:rPr lang="en-US" sz="1400" b="1" i="0" u="none" strike="noStrike" kern="1200" spc="0" baseline="0">
                <a:ln>
                  <a:noFill/>
                </a:ln>
                <a:solidFill>
                  <a:srgbClr val="0096D6"/>
                </a:solidFill>
                <a:latin typeface="Calibri" panose="020F0502020204030204" pitchFamily="34" charset="0"/>
                <a:ea typeface="Calibri" panose="020F0502020204030204" pitchFamily="34" charset="0"/>
                <a:cs typeface="Calibri" panose="020F0502020204030204" pitchFamily="34" charset="0"/>
              </a:rPr>
              <a:t>Monthly Trend of Sales and Profit in 2025</a:t>
            </a:r>
          </a:p>
          <a:p>
            <a:pPr marL="0" marR="0" lvl="0" indent="0" algn="ctr" defTabSz="914400" rtl="0" eaLnBrk="1" fontAlgn="auto" latinLnBrk="0" hangingPunct="1">
              <a:lnSpc>
                <a:spcPct val="100000"/>
              </a:lnSpc>
              <a:spcBef>
                <a:spcPts val="0"/>
              </a:spcBef>
              <a:spcAft>
                <a:spcPts val="0"/>
              </a:spcAft>
              <a:buClrTx/>
              <a:buSzTx/>
              <a:buFontTx/>
              <a:buNone/>
              <a:tabLst/>
              <a:defRPr lang="en-US" b="1">
                <a:ln>
                  <a:noFill/>
                </a:ln>
                <a:solidFill>
                  <a:srgbClr val="0096D6"/>
                </a:solidFill>
                <a:latin typeface="Calibri" panose="020F0502020204030204" pitchFamily="34" charset="0"/>
                <a:ea typeface="Calibri" panose="020F0502020204030204" pitchFamily="34" charset="0"/>
                <a:cs typeface="Calibri" panose="020F0502020204030204" pitchFamily="34" charset="0"/>
              </a:defRPr>
            </a:pPr>
            <a:endParaRPr lang="en-US" sz="1400" b="1" i="0" u="none" strike="noStrike" kern="1200" spc="0" baseline="0">
              <a:ln>
                <a:noFill/>
              </a:ln>
              <a:solidFill>
                <a:srgbClr val="0096D6"/>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30496422992017563"/>
          <c:y val="1.8798535138859856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400" b="1" i="0" u="none" strike="noStrike" kern="1200" spc="0" baseline="0">
              <a:ln>
                <a:noFill/>
              </a:ln>
              <a:solidFill>
                <a:srgbClr val="0096D6"/>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rgbClr val="0096D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3B6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96D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3B6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Analyze!$B$32</c:f>
              <c:strCache>
                <c:ptCount val="1"/>
                <c:pt idx="0">
                  <c:v>Sum of Sales</c:v>
                </c:pt>
              </c:strCache>
            </c:strRef>
          </c:tx>
          <c:spPr>
            <a:solidFill>
              <a:srgbClr val="0096D6"/>
            </a:solidFill>
            <a:ln>
              <a:noFill/>
            </a:ln>
            <a:effectLst/>
          </c:spPr>
          <c:invertIfNegative val="0"/>
          <c:cat>
            <c:strRef>
              <c:f>Analyze!$A$33:$A$39</c:f>
              <c:strCache>
                <c:ptCount val="6"/>
                <c:pt idx="0">
                  <c:v>Jan</c:v>
                </c:pt>
                <c:pt idx="1">
                  <c:v>Feb</c:v>
                </c:pt>
                <c:pt idx="2">
                  <c:v>Mar</c:v>
                </c:pt>
                <c:pt idx="3">
                  <c:v>Apr</c:v>
                </c:pt>
                <c:pt idx="4">
                  <c:v>May</c:v>
                </c:pt>
                <c:pt idx="5">
                  <c:v>Jun</c:v>
                </c:pt>
              </c:strCache>
            </c:strRef>
          </c:cat>
          <c:val>
            <c:numRef>
              <c:f>Analyze!$B$33:$B$39</c:f>
              <c:numCache>
                <c:formatCode>[$₦-46A]#,##0</c:formatCode>
                <c:ptCount val="6"/>
                <c:pt idx="0">
                  <c:v>27950000</c:v>
                </c:pt>
                <c:pt idx="1">
                  <c:v>29270000</c:v>
                </c:pt>
                <c:pt idx="2">
                  <c:v>17985000</c:v>
                </c:pt>
                <c:pt idx="3">
                  <c:v>10235000</c:v>
                </c:pt>
                <c:pt idx="4">
                  <c:v>8920000</c:v>
                </c:pt>
                <c:pt idx="5">
                  <c:v>5865000</c:v>
                </c:pt>
              </c:numCache>
            </c:numRef>
          </c:val>
          <c:extLst>
            <c:ext xmlns:c16="http://schemas.microsoft.com/office/drawing/2014/chart" uri="{C3380CC4-5D6E-409C-BE32-E72D297353CC}">
              <c16:uniqueId val="{00000000-464E-40C7-B0BF-F27522E01812}"/>
            </c:ext>
          </c:extLst>
        </c:ser>
        <c:ser>
          <c:idx val="1"/>
          <c:order val="1"/>
          <c:tx>
            <c:strRef>
              <c:f>Analyze!$C$32</c:f>
              <c:strCache>
                <c:ptCount val="1"/>
                <c:pt idx="0">
                  <c:v>Sum of Profit</c:v>
                </c:pt>
              </c:strCache>
            </c:strRef>
          </c:tx>
          <c:spPr>
            <a:solidFill>
              <a:srgbClr val="003B6F"/>
            </a:solidFill>
            <a:ln>
              <a:noFill/>
            </a:ln>
            <a:effectLst/>
          </c:spPr>
          <c:invertIfNegative val="0"/>
          <c:cat>
            <c:strRef>
              <c:f>Analyze!$A$33:$A$39</c:f>
              <c:strCache>
                <c:ptCount val="6"/>
                <c:pt idx="0">
                  <c:v>Jan</c:v>
                </c:pt>
                <c:pt idx="1">
                  <c:v>Feb</c:v>
                </c:pt>
                <c:pt idx="2">
                  <c:v>Mar</c:v>
                </c:pt>
                <c:pt idx="3">
                  <c:v>Apr</c:v>
                </c:pt>
                <c:pt idx="4">
                  <c:v>May</c:v>
                </c:pt>
                <c:pt idx="5">
                  <c:v>Jun</c:v>
                </c:pt>
              </c:strCache>
            </c:strRef>
          </c:cat>
          <c:val>
            <c:numRef>
              <c:f>Analyze!$C$33:$C$39</c:f>
              <c:numCache>
                <c:formatCode>[$₦-46A]#,##0</c:formatCode>
                <c:ptCount val="6"/>
                <c:pt idx="0">
                  <c:v>27871887</c:v>
                </c:pt>
                <c:pt idx="1">
                  <c:v>29161085</c:v>
                </c:pt>
                <c:pt idx="2">
                  <c:v>17924187</c:v>
                </c:pt>
                <c:pt idx="3">
                  <c:v>10169482</c:v>
                </c:pt>
                <c:pt idx="4">
                  <c:v>8862605</c:v>
                </c:pt>
                <c:pt idx="5">
                  <c:v>5839507</c:v>
                </c:pt>
              </c:numCache>
            </c:numRef>
          </c:val>
          <c:extLst>
            <c:ext xmlns:c16="http://schemas.microsoft.com/office/drawing/2014/chart" uri="{C3380CC4-5D6E-409C-BE32-E72D297353CC}">
              <c16:uniqueId val="{00000001-464E-40C7-B0BF-F27522E01812}"/>
            </c:ext>
          </c:extLst>
        </c:ser>
        <c:dLbls>
          <c:showLegendKey val="0"/>
          <c:showVal val="0"/>
          <c:showCatName val="0"/>
          <c:showSerName val="0"/>
          <c:showPercent val="0"/>
          <c:showBubbleSize val="0"/>
        </c:dLbls>
        <c:gapWidth val="219"/>
        <c:axId val="891902832"/>
        <c:axId val="891906192"/>
      </c:barChart>
      <c:catAx>
        <c:axId val="891902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1906192"/>
        <c:crosses val="autoZero"/>
        <c:auto val="1"/>
        <c:lblAlgn val="ctr"/>
        <c:lblOffset val="100"/>
        <c:noMultiLvlLbl val="0"/>
      </c:catAx>
      <c:valAx>
        <c:axId val="891906192"/>
        <c:scaling>
          <c:orientation val="minMax"/>
        </c:scaling>
        <c:delete val="0"/>
        <c:axPos val="l"/>
        <c:majorGridlines>
          <c:spPr>
            <a:ln w="9525" cap="flat" cmpd="sng" algn="ctr">
              <a:solidFill>
                <a:schemeClr val="tx1">
                  <a:lumMod val="15000"/>
                  <a:lumOff val="85000"/>
                </a:schemeClr>
              </a:solidFill>
              <a:round/>
            </a:ln>
            <a:effectLst/>
          </c:spPr>
        </c:majorGridlines>
        <c:numFmt formatCode="[$₦-46A]#,##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1902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[Omotola_HP_Sales_Dashboard.xIsx.xlsx]Analyze!PivotTable14</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400" b="1" i="0" u="none" strike="noStrike" kern="1200" spc="0" baseline="0">
                <a:ln>
                  <a:noFill/>
                </a:ln>
                <a:solidFill>
                  <a:srgbClr val="0096D6"/>
                </a:solidFill>
                <a:latin typeface="Calibri" panose="020F0502020204030204" pitchFamily="34" charset="0"/>
                <a:ea typeface="Calibri" panose="020F0502020204030204" pitchFamily="34" charset="0"/>
                <a:cs typeface="Calibri" panose="020F0502020204030204" pitchFamily="34" charset="0"/>
              </a:defRPr>
            </a:pPr>
            <a:r>
              <a:rPr lang="en-US" sz="1400" b="1" i="0" u="none" strike="noStrike" kern="1200" spc="0" baseline="0">
                <a:ln>
                  <a:noFill/>
                </a:ln>
                <a:solidFill>
                  <a:srgbClr val="0096D6"/>
                </a:solidFill>
                <a:latin typeface="Calibri" panose="020F0502020204030204" pitchFamily="34" charset="0"/>
                <a:ea typeface="Calibri" panose="020F0502020204030204" pitchFamily="34" charset="0"/>
                <a:cs typeface="Calibri" panose="020F0502020204030204" pitchFamily="34" charset="0"/>
              </a:rPr>
              <a:t>Profit Variation by Product and Region per Salesperson</a:t>
            </a:r>
          </a:p>
          <a:p>
            <a:pPr marL="0" marR="0" lvl="0" indent="0" algn="ctr" defTabSz="914400" rtl="0" eaLnBrk="1" fontAlgn="auto" latinLnBrk="0" hangingPunct="1">
              <a:lnSpc>
                <a:spcPct val="100000"/>
              </a:lnSpc>
              <a:spcBef>
                <a:spcPts val="0"/>
              </a:spcBef>
              <a:spcAft>
                <a:spcPts val="0"/>
              </a:spcAft>
              <a:buClrTx/>
              <a:buSzTx/>
              <a:buFontTx/>
              <a:buNone/>
              <a:tabLst/>
              <a:defRPr lang="en-US" b="1">
                <a:ln>
                  <a:noFill/>
                </a:ln>
                <a:solidFill>
                  <a:srgbClr val="0096D6"/>
                </a:solidFill>
                <a:latin typeface="Calibri" panose="020F0502020204030204" pitchFamily="34" charset="0"/>
                <a:ea typeface="Calibri" panose="020F0502020204030204" pitchFamily="34" charset="0"/>
                <a:cs typeface="Calibri" panose="020F0502020204030204" pitchFamily="34" charset="0"/>
              </a:defRPr>
            </a:pPr>
            <a:endParaRPr lang="en-US" sz="1400" b="1" i="0" u="none" strike="noStrike" kern="1200" spc="0" baseline="0">
              <a:ln>
                <a:noFill/>
              </a:ln>
              <a:solidFill>
                <a:srgbClr val="0096D6"/>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23699999999999996"/>
          <c:y val="4.4254884806065917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400" b="1" i="0" u="none" strike="noStrike" kern="1200" spc="0" baseline="0">
              <a:ln>
                <a:noFill/>
              </a:ln>
              <a:solidFill>
                <a:srgbClr val="0096D6"/>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A7D3F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3B6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96D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D4D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4D4D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A7D3F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3B6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96D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Analyze!$B$78:$B$79</c:f>
              <c:strCache>
                <c:ptCount val="1"/>
                <c:pt idx="0">
                  <c:v>East</c:v>
                </c:pt>
              </c:strCache>
            </c:strRef>
          </c:tx>
          <c:spPr>
            <a:solidFill>
              <a:srgbClr val="4D4D4F"/>
            </a:solidFill>
            <a:ln>
              <a:noFill/>
            </a:ln>
            <a:effectLst/>
          </c:spPr>
          <c:invertIfNegative val="0"/>
          <c:cat>
            <c:strRef>
              <c:f>Analyze!$A$80:$A$86</c:f>
              <c:strCache>
                <c:ptCount val="6"/>
                <c:pt idx="0">
                  <c:v>Headset</c:v>
                </c:pt>
                <c:pt idx="1">
                  <c:v>Keyboard</c:v>
                </c:pt>
                <c:pt idx="2">
                  <c:v>Laptop</c:v>
                </c:pt>
                <c:pt idx="3">
                  <c:v>Monitor</c:v>
                </c:pt>
                <c:pt idx="4">
                  <c:v>Mouse</c:v>
                </c:pt>
                <c:pt idx="5">
                  <c:v>Printer</c:v>
                </c:pt>
              </c:strCache>
            </c:strRef>
          </c:cat>
          <c:val>
            <c:numRef>
              <c:f>Analyze!$B$80:$B$86</c:f>
              <c:numCache>
                <c:formatCode>General</c:formatCode>
                <c:ptCount val="6"/>
                <c:pt idx="0">
                  <c:v>7267470</c:v>
                </c:pt>
                <c:pt idx="1">
                  <c:v>83718</c:v>
                </c:pt>
                <c:pt idx="2">
                  <c:v>4144486</c:v>
                </c:pt>
                <c:pt idx="3">
                  <c:v>4959673</c:v>
                </c:pt>
                <c:pt idx="4">
                  <c:v>2800837</c:v>
                </c:pt>
                <c:pt idx="5">
                  <c:v>9509421</c:v>
                </c:pt>
              </c:numCache>
            </c:numRef>
          </c:val>
          <c:extLst>
            <c:ext xmlns:c16="http://schemas.microsoft.com/office/drawing/2014/chart" uri="{C3380CC4-5D6E-409C-BE32-E72D297353CC}">
              <c16:uniqueId val="{00000000-C62D-49B6-87EE-C449D907F157}"/>
            </c:ext>
          </c:extLst>
        </c:ser>
        <c:ser>
          <c:idx val="1"/>
          <c:order val="1"/>
          <c:tx>
            <c:strRef>
              <c:f>Analyze!$C$78:$C$79</c:f>
              <c:strCache>
                <c:ptCount val="1"/>
                <c:pt idx="0">
                  <c:v>North</c:v>
                </c:pt>
              </c:strCache>
            </c:strRef>
          </c:tx>
          <c:spPr>
            <a:solidFill>
              <a:srgbClr val="A7D3F3"/>
            </a:solidFill>
            <a:ln>
              <a:noFill/>
            </a:ln>
            <a:effectLst/>
          </c:spPr>
          <c:invertIfNegative val="0"/>
          <c:cat>
            <c:strRef>
              <c:f>Analyze!$A$80:$A$86</c:f>
              <c:strCache>
                <c:ptCount val="6"/>
                <c:pt idx="0">
                  <c:v>Headset</c:v>
                </c:pt>
                <c:pt idx="1">
                  <c:v>Keyboard</c:v>
                </c:pt>
                <c:pt idx="2">
                  <c:v>Laptop</c:v>
                </c:pt>
                <c:pt idx="3">
                  <c:v>Monitor</c:v>
                </c:pt>
                <c:pt idx="4">
                  <c:v>Mouse</c:v>
                </c:pt>
                <c:pt idx="5">
                  <c:v>Printer</c:v>
                </c:pt>
              </c:strCache>
            </c:strRef>
          </c:cat>
          <c:val>
            <c:numRef>
              <c:f>Analyze!$C$80:$C$86</c:f>
              <c:numCache>
                <c:formatCode>General</c:formatCode>
                <c:ptCount val="6"/>
                <c:pt idx="0">
                  <c:v>1341923</c:v>
                </c:pt>
                <c:pt idx="1">
                  <c:v>6748104</c:v>
                </c:pt>
                <c:pt idx="2">
                  <c:v>6177789</c:v>
                </c:pt>
                <c:pt idx="3">
                  <c:v>1494274</c:v>
                </c:pt>
                <c:pt idx="4">
                  <c:v>9991611</c:v>
                </c:pt>
                <c:pt idx="5">
                  <c:v>458853</c:v>
                </c:pt>
              </c:numCache>
            </c:numRef>
          </c:val>
          <c:extLst>
            <c:ext xmlns:c16="http://schemas.microsoft.com/office/drawing/2014/chart" uri="{C3380CC4-5D6E-409C-BE32-E72D297353CC}">
              <c16:uniqueId val="{00000001-C62D-49B6-87EE-C449D907F157}"/>
            </c:ext>
          </c:extLst>
        </c:ser>
        <c:ser>
          <c:idx val="2"/>
          <c:order val="2"/>
          <c:tx>
            <c:strRef>
              <c:f>Analyze!$D$78:$D$79</c:f>
              <c:strCache>
                <c:ptCount val="1"/>
                <c:pt idx="0">
                  <c:v>South</c:v>
                </c:pt>
              </c:strCache>
            </c:strRef>
          </c:tx>
          <c:spPr>
            <a:solidFill>
              <a:srgbClr val="003B6F"/>
            </a:solidFill>
            <a:ln>
              <a:noFill/>
            </a:ln>
            <a:effectLst/>
          </c:spPr>
          <c:invertIfNegative val="0"/>
          <c:cat>
            <c:strRef>
              <c:f>Analyze!$A$80:$A$86</c:f>
              <c:strCache>
                <c:ptCount val="6"/>
                <c:pt idx="0">
                  <c:v>Headset</c:v>
                </c:pt>
                <c:pt idx="1">
                  <c:v>Keyboard</c:v>
                </c:pt>
                <c:pt idx="2">
                  <c:v>Laptop</c:v>
                </c:pt>
                <c:pt idx="3">
                  <c:v>Monitor</c:v>
                </c:pt>
                <c:pt idx="4">
                  <c:v>Mouse</c:v>
                </c:pt>
                <c:pt idx="5">
                  <c:v>Printer</c:v>
                </c:pt>
              </c:strCache>
            </c:strRef>
          </c:cat>
          <c:val>
            <c:numRef>
              <c:f>Analyze!$D$80:$D$86</c:f>
              <c:numCache>
                <c:formatCode>General</c:formatCode>
                <c:ptCount val="6"/>
                <c:pt idx="0">
                  <c:v>9283850</c:v>
                </c:pt>
                <c:pt idx="1">
                  <c:v>4324700</c:v>
                </c:pt>
                <c:pt idx="2">
                  <c:v>330636</c:v>
                </c:pt>
                <c:pt idx="3">
                  <c:v>3353468</c:v>
                </c:pt>
                <c:pt idx="4">
                  <c:v>131469</c:v>
                </c:pt>
                <c:pt idx="5">
                  <c:v>4721039</c:v>
                </c:pt>
              </c:numCache>
            </c:numRef>
          </c:val>
          <c:extLst>
            <c:ext xmlns:c16="http://schemas.microsoft.com/office/drawing/2014/chart" uri="{C3380CC4-5D6E-409C-BE32-E72D297353CC}">
              <c16:uniqueId val="{00000002-C62D-49B6-87EE-C449D907F157}"/>
            </c:ext>
          </c:extLst>
        </c:ser>
        <c:ser>
          <c:idx val="3"/>
          <c:order val="3"/>
          <c:tx>
            <c:strRef>
              <c:f>Analyze!$E$78:$E$79</c:f>
              <c:strCache>
                <c:ptCount val="1"/>
                <c:pt idx="0">
                  <c:v>West</c:v>
                </c:pt>
              </c:strCache>
            </c:strRef>
          </c:tx>
          <c:spPr>
            <a:solidFill>
              <a:srgbClr val="0096D6"/>
            </a:solidFill>
            <a:ln>
              <a:noFill/>
            </a:ln>
            <a:effectLst/>
          </c:spPr>
          <c:invertIfNegative val="0"/>
          <c:cat>
            <c:strRef>
              <c:f>Analyze!$A$80:$A$86</c:f>
              <c:strCache>
                <c:ptCount val="6"/>
                <c:pt idx="0">
                  <c:v>Headset</c:v>
                </c:pt>
                <c:pt idx="1">
                  <c:v>Keyboard</c:v>
                </c:pt>
                <c:pt idx="2">
                  <c:v>Laptop</c:v>
                </c:pt>
                <c:pt idx="3">
                  <c:v>Monitor</c:v>
                </c:pt>
                <c:pt idx="4">
                  <c:v>Mouse</c:v>
                </c:pt>
                <c:pt idx="5">
                  <c:v>Printer</c:v>
                </c:pt>
              </c:strCache>
            </c:strRef>
          </c:cat>
          <c:val>
            <c:numRef>
              <c:f>Analyze!$E$80:$E$86</c:f>
              <c:numCache>
                <c:formatCode>General</c:formatCode>
                <c:ptCount val="6"/>
                <c:pt idx="0">
                  <c:v>1537407</c:v>
                </c:pt>
                <c:pt idx="1">
                  <c:v>1333051</c:v>
                </c:pt>
                <c:pt idx="2">
                  <c:v>4073218</c:v>
                </c:pt>
                <c:pt idx="3">
                  <c:v>3692138</c:v>
                </c:pt>
                <c:pt idx="4">
                  <c:v>8668200</c:v>
                </c:pt>
                <c:pt idx="5">
                  <c:v>3401418</c:v>
                </c:pt>
              </c:numCache>
            </c:numRef>
          </c:val>
          <c:extLst>
            <c:ext xmlns:c16="http://schemas.microsoft.com/office/drawing/2014/chart" uri="{C3380CC4-5D6E-409C-BE32-E72D297353CC}">
              <c16:uniqueId val="{00000003-C62D-49B6-87EE-C449D907F157}"/>
            </c:ext>
          </c:extLst>
        </c:ser>
        <c:dLbls>
          <c:showLegendKey val="0"/>
          <c:showVal val="0"/>
          <c:showCatName val="0"/>
          <c:showSerName val="0"/>
          <c:showPercent val="0"/>
          <c:showBubbleSize val="0"/>
        </c:dLbls>
        <c:gapWidth val="219"/>
        <c:axId val="1269588720"/>
        <c:axId val="1269590640"/>
      </c:barChart>
      <c:catAx>
        <c:axId val="1269588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9590640"/>
        <c:crosses val="autoZero"/>
        <c:auto val="1"/>
        <c:lblAlgn val="ctr"/>
        <c:lblOffset val="100"/>
        <c:noMultiLvlLbl val="0"/>
      </c:catAx>
      <c:valAx>
        <c:axId val="12695906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9588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7/06/relationships/model3d" Target="../media/model3d1.glb"/><Relationship Id="rId3" Type="http://schemas.openxmlformats.org/officeDocument/2006/relationships/chart" Target="../charts/chart3.xml"/><Relationship Id="rId7" Type="http://schemas.openxmlformats.org/officeDocument/2006/relationships/hyperlink" Target="https://www.open-electronics.org/hp-launches-speedy-3d-printer-10x-faster/" TargetMode="Externa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jpg"/><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261287</xdr:colOff>
      <xdr:row>0</xdr:row>
      <xdr:rowOff>153653</xdr:rowOff>
    </xdr:from>
    <xdr:to>
      <xdr:col>17</xdr:col>
      <xdr:colOff>266377</xdr:colOff>
      <xdr:row>6</xdr:row>
      <xdr:rowOff>50130</xdr:rowOff>
    </xdr:to>
    <xdr:sp macro="" textlink="">
      <xdr:nvSpPr>
        <xdr:cNvPr id="2" name="Rectangle 1">
          <a:extLst>
            <a:ext uri="{FF2B5EF4-FFF2-40B4-BE49-F238E27FC236}">
              <a16:creationId xmlns:a16="http://schemas.microsoft.com/office/drawing/2014/main" id="{00995205-B639-4791-167B-5D4BCF48F33F}"/>
            </a:ext>
          </a:extLst>
        </xdr:cNvPr>
        <xdr:cNvSpPr/>
      </xdr:nvSpPr>
      <xdr:spPr>
        <a:xfrm>
          <a:off x="261287" y="153653"/>
          <a:ext cx="16907929" cy="961985"/>
        </a:xfrm>
        <a:prstGeom prst="rect">
          <a:avLst/>
        </a:prstGeom>
        <a:solidFill>
          <a:srgbClr val="0096D6"/>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6000" b="1" u="none">
              <a:latin typeface="Calibri" panose="020F0502020204030204" pitchFamily="34" charset="0"/>
              <a:ea typeface="Calibri" panose="020F0502020204030204" pitchFamily="34" charset="0"/>
              <a:cs typeface="Calibri" panose="020F0502020204030204" pitchFamily="34" charset="0"/>
            </a:rPr>
            <a:t>HP Nigeria Sales Dashboard - 2025</a:t>
          </a:r>
        </a:p>
      </xdr:txBody>
    </xdr:sp>
    <xdr:clientData/>
  </xdr:twoCellAnchor>
  <xdr:twoCellAnchor>
    <xdr:from>
      <xdr:col>0</xdr:col>
      <xdr:colOff>187283</xdr:colOff>
      <xdr:row>6</xdr:row>
      <xdr:rowOff>176121</xdr:rowOff>
    </xdr:from>
    <xdr:to>
      <xdr:col>3</xdr:col>
      <xdr:colOff>722043</xdr:colOff>
      <xdr:row>13</xdr:row>
      <xdr:rowOff>165343</xdr:rowOff>
    </xdr:to>
    <xdr:sp macro="" textlink="">
      <xdr:nvSpPr>
        <xdr:cNvPr id="3" name="Rectangle: Rounded Corners 2">
          <a:extLst>
            <a:ext uri="{FF2B5EF4-FFF2-40B4-BE49-F238E27FC236}">
              <a16:creationId xmlns:a16="http://schemas.microsoft.com/office/drawing/2014/main" id="{6FA87B34-8D94-C351-4C08-C51442982210}"/>
            </a:ext>
          </a:extLst>
        </xdr:cNvPr>
        <xdr:cNvSpPr/>
      </xdr:nvSpPr>
      <xdr:spPr>
        <a:xfrm>
          <a:off x="187283" y="1241629"/>
          <a:ext cx="3755502" cy="1232316"/>
        </a:xfrm>
        <a:prstGeom prst="roundRect">
          <a:avLst/>
        </a:prstGeom>
        <a:solidFill>
          <a:srgbClr val="A7D3F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t>Total Sales</a:t>
          </a:r>
        </a:p>
      </xdr:txBody>
    </xdr:sp>
    <xdr:clientData/>
  </xdr:twoCellAnchor>
  <xdr:twoCellAnchor>
    <xdr:from>
      <xdr:col>3</xdr:col>
      <xdr:colOff>1085984</xdr:colOff>
      <xdr:row>7</xdr:row>
      <xdr:rowOff>6220</xdr:rowOff>
    </xdr:from>
    <xdr:to>
      <xdr:col>5</xdr:col>
      <xdr:colOff>1096868</xdr:colOff>
      <xdr:row>14</xdr:row>
      <xdr:rowOff>777</xdr:rowOff>
    </xdr:to>
    <xdr:sp macro="" textlink="">
      <xdr:nvSpPr>
        <xdr:cNvPr id="10" name="Rectangle: Rounded Corners 9">
          <a:extLst>
            <a:ext uri="{FF2B5EF4-FFF2-40B4-BE49-F238E27FC236}">
              <a16:creationId xmlns:a16="http://schemas.microsoft.com/office/drawing/2014/main" id="{EF0EF97E-53C2-647B-5485-91EE43E035A9}"/>
            </a:ext>
          </a:extLst>
        </xdr:cNvPr>
        <xdr:cNvSpPr/>
      </xdr:nvSpPr>
      <xdr:spPr>
        <a:xfrm>
          <a:off x="4311116" y="1292931"/>
          <a:ext cx="3553515" cy="1281267"/>
        </a:xfrm>
        <a:prstGeom prst="roundRect">
          <a:avLst/>
        </a:prstGeom>
        <a:solidFill>
          <a:srgbClr val="A7D3F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t>Total</a:t>
          </a:r>
          <a:r>
            <a:rPr lang="en-US" sz="2400" b="1" baseline="0"/>
            <a:t> Profit</a:t>
          </a:r>
          <a:endParaRPr lang="en-US" sz="2400" b="1"/>
        </a:p>
      </xdr:txBody>
    </xdr:sp>
    <xdr:clientData/>
  </xdr:twoCellAnchor>
  <xdr:twoCellAnchor>
    <xdr:from>
      <xdr:col>5</xdr:col>
      <xdr:colOff>1476705</xdr:colOff>
      <xdr:row>7</xdr:row>
      <xdr:rowOff>5098</xdr:rowOff>
    </xdr:from>
    <xdr:to>
      <xdr:col>9</xdr:col>
      <xdr:colOff>573113</xdr:colOff>
      <xdr:row>13</xdr:row>
      <xdr:rowOff>165673</xdr:rowOff>
    </xdr:to>
    <xdr:sp macro="" textlink="">
      <xdr:nvSpPr>
        <xdr:cNvPr id="11" name="Rectangle: Rounded Corners 10">
          <a:extLst>
            <a:ext uri="{FF2B5EF4-FFF2-40B4-BE49-F238E27FC236}">
              <a16:creationId xmlns:a16="http://schemas.microsoft.com/office/drawing/2014/main" id="{D4E03B70-F077-16A7-2C69-06043D7D8636}"/>
            </a:ext>
          </a:extLst>
        </xdr:cNvPr>
        <xdr:cNvSpPr/>
      </xdr:nvSpPr>
      <xdr:spPr>
        <a:xfrm>
          <a:off x="8232998" y="1248191"/>
          <a:ext cx="4076852" cy="1226084"/>
        </a:xfrm>
        <a:prstGeom prst="roundRect">
          <a:avLst/>
        </a:prstGeom>
        <a:solidFill>
          <a:srgbClr val="A7D3F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t>Top performing Product</a:t>
          </a:r>
        </a:p>
      </xdr:txBody>
    </xdr:sp>
    <xdr:clientData/>
  </xdr:twoCellAnchor>
  <xdr:twoCellAnchor>
    <xdr:from>
      <xdr:col>10</xdr:col>
      <xdr:colOff>395530</xdr:colOff>
      <xdr:row>7</xdr:row>
      <xdr:rowOff>36618</xdr:rowOff>
    </xdr:from>
    <xdr:to>
      <xdr:col>17</xdr:col>
      <xdr:colOff>355169</xdr:colOff>
      <xdr:row>13</xdr:row>
      <xdr:rowOff>125866</xdr:rowOff>
    </xdr:to>
    <xdr:sp macro="" textlink="">
      <xdr:nvSpPr>
        <xdr:cNvPr id="12" name="Rectangle: Rounded Corners 11">
          <a:extLst>
            <a:ext uri="{FF2B5EF4-FFF2-40B4-BE49-F238E27FC236}">
              <a16:creationId xmlns:a16="http://schemas.microsoft.com/office/drawing/2014/main" id="{247F66AC-C868-9DA5-2622-1E2183A63344}"/>
            </a:ext>
          </a:extLst>
        </xdr:cNvPr>
        <xdr:cNvSpPr/>
      </xdr:nvSpPr>
      <xdr:spPr>
        <a:xfrm>
          <a:off x="12778030" y="1279711"/>
          <a:ext cx="4479978" cy="1154757"/>
        </a:xfrm>
        <a:prstGeom prst="roundRect">
          <a:avLst/>
        </a:prstGeom>
        <a:solidFill>
          <a:srgbClr val="A7D3F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t>Total</a:t>
          </a:r>
          <a:r>
            <a:rPr lang="en-US" sz="2400" b="1" baseline="0"/>
            <a:t> Profit For January</a:t>
          </a:r>
          <a:endParaRPr lang="en-US" sz="2400" b="1"/>
        </a:p>
      </xdr:txBody>
    </xdr:sp>
    <xdr:clientData/>
  </xdr:twoCellAnchor>
  <xdr:twoCellAnchor>
    <xdr:from>
      <xdr:col>0</xdr:col>
      <xdr:colOff>284207</xdr:colOff>
      <xdr:row>29</xdr:row>
      <xdr:rowOff>33705</xdr:rowOff>
    </xdr:from>
    <xdr:to>
      <xdr:col>12</xdr:col>
      <xdr:colOff>435889</xdr:colOff>
      <xdr:row>57</xdr:row>
      <xdr:rowOff>125612</xdr:rowOff>
    </xdr:to>
    <xdr:sp macro="" textlink="">
      <xdr:nvSpPr>
        <xdr:cNvPr id="13" name="Rectangle 12">
          <a:extLst>
            <a:ext uri="{FF2B5EF4-FFF2-40B4-BE49-F238E27FC236}">
              <a16:creationId xmlns:a16="http://schemas.microsoft.com/office/drawing/2014/main" id="{17C7D10C-90AC-D325-BB98-DE9C4A5F6074}"/>
            </a:ext>
          </a:extLst>
        </xdr:cNvPr>
        <xdr:cNvSpPr/>
      </xdr:nvSpPr>
      <xdr:spPr>
        <a:xfrm>
          <a:off x="284207" y="6539764"/>
          <a:ext cx="13825707" cy="5064280"/>
        </a:xfrm>
        <a:prstGeom prst="rect">
          <a:avLst/>
        </a:prstGeom>
        <a:solidFill>
          <a:srgbClr val="0096D6"/>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34101</xdr:colOff>
      <xdr:row>59</xdr:row>
      <xdr:rowOff>10803</xdr:rowOff>
    </xdr:from>
    <xdr:to>
      <xdr:col>22</xdr:col>
      <xdr:colOff>459540</xdr:colOff>
      <xdr:row>86</xdr:row>
      <xdr:rowOff>167106</xdr:rowOff>
    </xdr:to>
    <xdr:sp macro="" textlink="">
      <xdr:nvSpPr>
        <xdr:cNvPr id="14" name="Rectangle 13">
          <a:extLst>
            <a:ext uri="{FF2B5EF4-FFF2-40B4-BE49-F238E27FC236}">
              <a16:creationId xmlns:a16="http://schemas.microsoft.com/office/drawing/2014/main" id="{63216876-09B1-94D3-DF59-4F68BABFE8E8}"/>
            </a:ext>
          </a:extLst>
        </xdr:cNvPr>
        <xdr:cNvSpPr/>
      </xdr:nvSpPr>
      <xdr:spPr>
        <a:xfrm>
          <a:off x="326536" y="12142645"/>
          <a:ext cx="20369451" cy="5119329"/>
        </a:xfrm>
        <a:prstGeom prst="rect">
          <a:avLst/>
        </a:prstGeom>
        <a:solidFill>
          <a:srgbClr val="0096D6"/>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88792</xdr:colOff>
      <xdr:row>29</xdr:row>
      <xdr:rowOff>167107</xdr:rowOff>
    </xdr:from>
    <xdr:to>
      <xdr:col>5</xdr:col>
      <xdr:colOff>451898</xdr:colOff>
      <xdr:row>57</xdr:row>
      <xdr:rowOff>8356</xdr:rowOff>
    </xdr:to>
    <xdr:graphicFrame macro="">
      <xdr:nvGraphicFramePr>
        <xdr:cNvPr id="15" name="Chart 2">
          <a:extLst>
            <a:ext uri="{FF2B5EF4-FFF2-40B4-BE49-F238E27FC236}">
              <a16:creationId xmlns:a16="http://schemas.microsoft.com/office/drawing/2014/main" id="{48B352E5-E137-6740-6AD6-67E11EAF47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577467</xdr:colOff>
      <xdr:row>29</xdr:row>
      <xdr:rowOff>142040</xdr:rowOff>
    </xdr:from>
    <xdr:to>
      <xdr:col>12</xdr:col>
      <xdr:colOff>325855</xdr:colOff>
      <xdr:row>57</xdr:row>
      <xdr:rowOff>0</xdr:rowOff>
    </xdr:to>
    <xdr:graphicFrame macro="">
      <xdr:nvGraphicFramePr>
        <xdr:cNvPr id="16" name="Chart 3">
          <a:extLst>
            <a:ext uri="{FF2B5EF4-FFF2-40B4-BE49-F238E27FC236}">
              <a16:creationId xmlns:a16="http://schemas.microsoft.com/office/drawing/2014/main" id="{DB955D17-5666-ACDE-02C4-9C2B9E1346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108111</xdr:colOff>
      <xdr:row>59</xdr:row>
      <xdr:rowOff>98725</xdr:rowOff>
    </xdr:from>
    <xdr:to>
      <xdr:col>5</xdr:col>
      <xdr:colOff>509671</xdr:colOff>
      <xdr:row>86</xdr:row>
      <xdr:rowOff>58487</xdr:rowOff>
    </xdr:to>
    <xdr:graphicFrame macro="">
      <xdr:nvGraphicFramePr>
        <xdr:cNvPr id="17" name="Chart 4">
          <a:extLst>
            <a:ext uri="{FF2B5EF4-FFF2-40B4-BE49-F238E27FC236}">
              <a16:creationId xmlns:a16="http://schemas.microsoft.com/office/drawing/2014/main" id="{3192D929-5B5D-6BC9-5AB7-2F135C87CD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643356</xdr:colOff>
      <xdr:row>59</xdr:row>
      <xdr:rowOff>109454</xdr:rowOff>
    </xdr:from>
    <xdr:to>
      <xdr:col>12</xdr:col>
      <xdr:colOff>392698</xdr:colOff>
      <xdr:row>86</xdr:row>
      <xdr:rowOff>41776</xdr:rowOff>
    </xdr:to>
    <xdr:graphicFrame macro="">
      <xdr:nvGraphicFramePr>
        <xdr:cNvPr id="18" name="Chart 5">
          <a:extLst>
            <a:ext uri="{FF2B5EF4-FFF2-40B4-BE49-F238E27FC236}">
              <a16:creationId xmlns:a16="http://schemas.microsoft.com/office/drawing/2014/main" id="{1A45E764-9487-660C-B4AB-08E70D66F3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477637</xdr:colOff>
      <xdr:row>59</xdr:row>
      <xdr:rowOff>62641</xdr:rowOff>
    </xdr:from>
    <xdr:to>
      <xdr:col>22</xdr:col>
      <xdr:colOff>361424</xdr:colOff>
      <xdr:row>86</xdr:row>
      <xdr:rowOff>50132</xdr:rowOff>
    </xdr:to>
    <xdr:graphicFrame macro="">
      <xdr:nvGraphicFramePr>
        <xdr:cNvPr id="19" name="Chart 6">
          <a:extLst>
            <a:ext uri="{FF2B5EF4-FFF2-40B4-BE49-F238E27FC236}">
              <a16:creationId xmlns:a16="http://schemas.microsoft.com/office/drawing/2014/main" id="{0C30685B-4830-F801-800B-3257698527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514792</xdr:colOff>
      <xdr:row>29</xdr:row>
      <xdr:rowOff>163956</xdr:rowOff>
    </xdr:from>
    <xdr:to>
      <xdr:col>16</xdr:col>
      <xdr:colOff>101495</xdr:colOff>
      <xdr:row>57</xdr:row>
      <xdr:rowOff>7291</xdr:rowOff>
    </xdr:to>
    <mc:AlternateContent xmlns:mc="http://schemas.openxmlformats.org/markup-compatibility/2006" xmlns:a14="http://schemas.microsoft.com/office/drawing/2010/main">
      <mc:Choice Requires="a14">
        <xdr:graphicFrame macro="">
          <xdr:nvGraphicFramePr>
            <xdr:cNvPr id="20" name="Region 1">
              <a:extLst>
                <a:ext uri="{FF2B5EF4-FFF2-40B4-BE49-F238E27FC236}">
                  <a16:creationId xmlns:a16="http://schemas.microsoft.com/office/drawing/2014/main" id="{7FD335D6-E4F2-10B0-7310-94EADBD3E06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4188817" y="6670015"/>
              <a:ext cx="2169754" cy="48157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175400</xdr:colOff>
      <xdr:row>29</xdr:row>
      <xdr:rowOff>140534</xdr:rowOff>
    </xdr:from>
    <xdr:to>
      <xdr:col>19</xdr:col>
      <xdr:colOff>218606</xdr:colOff>
      <xdr:row>56</xdr:row>
      <xdr:rowOff>161385</xdr:rowOff>
    </xdr:to>
    <mc:AlternateContent xmlns:mc="http://schemas.openxmlformats.org/markup-compatibility/2006" xmlns:a14="http://schemas.microsoft.com/office/drawing/2010/main">
      <mc:Choice Requires="a14">
        <xdr:graphicFrame macro="">
          <xdr:nvGraphicFramePr>
            <xdr:cNvPr id="21" name="Salesperson 1">
              <a:extLst>
                <a:ext uri="{FF2B5EF4-FFF2-40B4-BE49-F238E27FC236}">
                  <a16:creationId xmlns:a16="http://schemas.microsoft.com/office/drawing/2014/main" id="{5A0DE358-977F-B67B-59E5-909010808F57}"/>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mlns="">
        <xdr:sp macro="" textlink="">
          <xdr:nvSpPr>
            <xdr:cNvPr id="0" name=""/>
            <xdr:cNvSpPr>
              <a:spLocks noTextEdit="1"/>
            </xdr:cNvSpPr>
          </xdr:nvSpPr>
          <xdr:spPr>
            <a:xfrm>
              <a:off x="16432476" y="6646593"/>
              <a:ext cx="1980494" cy="48156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289884</xdr:colOff>
      <xdr:row>29</xdr:row>
      <xdr:rowOff>140533</xdr:rowOff>
    </xdr:from>
    <xdr:to>
      <xdr:col>22</xdr:col>
      <xdr:colOff>413791</xdr:colOff>
      <xdr:row>57</xdr:row>
      <xdr:rowOff>8355</xdr:rowOff>
    </xdr:to>
    <mc:AlternateContent xmlns:mc="http://schemas.openxmlformats.org/markup-compatibility/2006" xmlns:a14="http://schemas.microsoft.com/office/drawing/2010/main">
      <mc:Choice Requires="a14">
        <xdr:graphicFrame macro="">
          <xdr:nvGraphicFramePr>
            <xdr:cNvPr id="22" name="Product 1">
              <a:extLst>
                <a:ext uri="{FF2B5EF4-FFF2-40B4-BE49-F238E27FC236}">
                  <a16:creationId xmlns:a16="http://schemas.microsoft.com/office/drawing/2014/main" id="{78E84E21-537F-1BED-069D-622A36FDE7CE}"/>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8484248" y="6646592"/>
              <a:ext cx="2061196" cy="48401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230178</xdr:colOff>
      <xdr:row>15</xdr:row>
      <xdr:rowOff>27214</xdr:rowOff>
    </xdr:from>
    <xdr:to>
      <xdr:col>7</xdr:col>
      <xdr:colOff>187996</xdr:colOff>
      <xdr:row>18</xdr:row>
      <xdr:rowOff>175460</xdr:rowOff>
    </xdr:to>
    <xdr:sp macro="" textlink="">
      <xdr:nvSpPr>
        <xdr:cNvPr id="24" name="Rectangle 23">
          <a:extLst>
            <a:ext uri="{FF2B5EF4-FFF2-40B4-BE49-F238E27FC236}">
              <a16:creationId xmlns:a16="http://schemas.microsoft.com/office/drawing/2014/main" id="{6946DA8D-2292-1953-0744-9DFDC8E9A686}"/>
            </a:ext>
          </a:extLst>
        </xdr:cNvPr>
        <xdr:cNvSpPr/>
      </xdr:nvSpPr>
      <xdr:spPr>
        <a:xfrm>
          <a:off x="230178" y="2784451"/>
          <a:ext cx="10418607" cy="699693"/>
        </a:xfrm>
        <a:prstGeom prst="rect">
          <a:avLst/>
        </a:prstGeom>
        <a:solidFill>
          <a:srgbClr val="0096D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t>Sales</a:t>
          </a:r>
          <a:r>
            <a:rPr lang="en-US" sz="2400" b="1" baseline="0"/>
            <a:t> By Product</a:t>
          </a:r>
          <a:endParaRPr lang="en-US" sz="2400" b="1"/>
        </a:p>
      </xdr:txBody>
    </xdr:sp>
    <xdr:clientData/>
  </xdr:twoCellAnchor>
  <xdr:twoCellAnchor>
    <xdr:from>
      <xdr:col>0</xdr:col>
      <xdr:colOff>236978</xdr:colOff>
      <xdr:row>18</xdr:row>
      <xdr:rowOff>61829</xdr:rowOff>
    </xdr:from>
    <xdr:to>
      <xdr:col>7</xdr:col>
      <xdr:colOff>194796</xdr:colOff>
      <xdr:row>20</xdr:row>
      <xdr:rowOff>142040</xdr:rowOff>
    </xdr:to>
    <xdr:sp macro="" textlink="">
      <xdr:nvSpPr>
        <xdr:cNvPr id="25" name="Rectangle 24">
          <a:extLst>
            <a:ext uri="{FF2B5EF4-FFF2-40B4-BE49-F238E27FC236}">
              <a16:creationId xmlns:a16="http://schemas.microsoft.com/office/drawing/2014/main" id="{0ABBA2EB-578D-2937-D179-C458905B54FA}"/>
            </a:ext>
          </a:extLst>
        </xdr:cNvPr>
        <xdr:cNvSpPr/>
      </xdr:nvSpPr>
      <xdr:spPr>
        <a:xfrm>
          <a:off x="236978" y="3370513"/>
          <a:ext cx="10418607" cy="447843"/>
        </a:xfrm>
        <a:prstGeom prst="rect">
          <a:avLst/>
        </a:prstGeom>
        <a:solidFill>
          <a:srgbClr val="003B6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0"/>
            <a:t>Product</a:t>
          </a:r>
          <a:r>
            <a:rPr lang="en-US" sz="2000" b="0" baseline="0"/>
            <a:t>                   East                            North</a:t>
          </a:r>
          <a:r>
            <a:rPr lang="en-US" sz="2000" b="0"/>
            <a:t>                      South                             West                      Grand Total</a:t>
          </a:r>
        </a:p>
      </xdr:txBody>
    </xdr:sp>
    <xdr:clientData/>
  </xdr:twoCellAnchor>
  <xdr:twoCellAnchor>
    <xdr:from>
      <xdr:col>1</xdr:col>
      <xdr:colOff>196348</xdr:colOff>
      <xdr:row>9</xdr:row>
      <xdr:rowOff>25065</xdr:rowOff>
    </xdr:from>
    <xdr:to>
      <xdr:col>3</xdr:col>
      <xdr:colOff>904456</xdr:colOff>
      <xdr:row>13</xdr:row>
      <xdr:rowOff>96085</xdr:rowOff>
    </xdr:to>
    <xdr:sp macro="" textlink="Analyze!B8">
      <xdr:nvSpPr>
        <xdr:cNvPr id="27" name="TextBox 26">
          <a:extLst>
            <a:ext uri="{FF2B5EF4-FFF2-40B4-BE49-F238E27FC236}">
              <a16:creationId xmlns:a16="http://schemas.microsoft.com/office/drawing/2014/main" id="{BF1AED95-759D-2857-1296-1A9D33A92307}"/>
            </a:ext>
          </a:extLst>
        </xdr:cNvPr>
        <xdr:cNvSpPr txBox="1"/>
      </xdr:nvSpPr>
      <xdr:spPr>
        <a:xfrm>
          <a:off x="488783" y="1679407"/>
          <a:ext cx="3640805" cy="8062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1F472E9-82E9-40B6-8D9B-635CE34DC098}" type="TxLink">
            <a:rPr lang="en-US" sz="4400" b="0" i="0" u="none" strike="noStrike">
              <a:solidFill>
                <a:srgbClr val="000000"/>
              </a:solidFill>
              <a:latin typeface="Aptos Narrow"/>
            </a:rPr>
            <a:pPr/>
            <a:t>₦100,225,000</a:t>
          </a:fld>
          <a:endParaRPr lang="en-US" sz="4400"/>
        </a:p>
      </xdr:txBody>
    </xdr:sp>
    <xdr:clientData/>
  </xdr:twoCellAnchor>
  <xdr:twoCellAnchor>
    <xdr:from>
      <xdr:col>3</xdr:col>
      <xdr:colOff>1399506</xdr:colOff>
      <xdr:row>8</xdr:row>
      <xdr:rowOff>175460</xdr:rowOff>
    </xdr:from>
    <xdr:to>
      <xdr:col>5</xdr:col>
      <xdr:colOff>1493502</xdr:colOff>
      <xdr:row>13</xdr:row>
      <xdr:rowOff>62664</xdr:rowOff>
    </xdr:to>
    <xdr:sp macro="" textlink="Analyze!C8">
      <xdr:nvSpPr>
        <xdr:cNvPr id="28" name="TextBox 27">
          <a:extLst>
            <a:ext uri="{FF2B5EF4-FFF2-40B4-BE49-F238E27FC236}">
              <a16:creationId xmlns:a16="http://schemas.microsoft.com/office/drawing/2014/main" id="{139B04EA-A0C8-B8DE-4432-5D6EE38CDBCF}"/>
            </a:ext>
          </a:extLst>
        </xdr:cNvPr>
        <xdr:cNvSpPr txBox="1"/>
      </xdr:nvSpPr>
      <xdr:spPr>
        <a:xfrm>
          <a:off x="4624638" y="1645986"/>
          <a:ext cx="3636627" cy="8062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26433C4A-8536-477B-976E-1F06AD3F18FA}" type="TxLink">
            <a:rPr lang="en-US" sz="4400" b="0" i="0" u="none" strike="noStrike">
              <a:solidFill>
                <a:srgbClr val="000000"/>
              </a:solidFill>
              <a:latin typeface="Aptos Narrow"/>
            </a:rPr>
            <a:pPr algn="l"/>
            <a:t>₦99,828,753</a:t>
          </a:fld>
          <a:endParaRPr lang="en-US" sz="16600"/>
        </a:p>
      </xdr:txBody>
    </xdr:sp>
    <xdr:clientData/>
  </xdr:twoCellAnchor>
  <xdr:twoCellAnchor>
    <xdr:from>
      <xdr:col>5</xdr:col>
      <xdr:colOff>1604210</xdr:colOff>
      <xdr:row>9</xdr:row>
      <xdr:rowOff>75197</xdr:rowOff>
    </xdr:from>
    <xdr:to>
      <xdr:col>9</xdr:col>
      <xdr:colOff>56398</xdr:colOff>
      <xdr:row>13</xdr:row>
      <xdr:rowOff>56398</xdr:rowOff>
    </xdr:to>
    <xdr:sp macro="" textlink="">
      <xdr:nvSpPr>
        <xdr:cNvPr id="32" name="TextBox 31">
          <a:extLst>
            <a:ext uri="{FF2B5EF4-FFF2-40B4-BE49-F238E27FC236}">
              <a16:creationId xmlns:a16="http://schemas.microsoft.com/office/drawing/2014/main" id="{49D4D305-F119-AB46-D2F3-DB5D24616445}"/>
            </a:ext>
          </a:extLst>
        </xdr:cNvPr>
        <xdr:cNvSpPr txBox="1"/>
      </xdr:nvSpPr>
      <xdr:spPr>
        <a:xfrm>
          <a:off x="8378240" y="1710740"/>
          <a:ext cx="3440280" cy="7081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400">
              <a:solidFill>
                <a:sysClr val="windowText" lastClr="000000"/>
              </a:solidFill>
            </a:rPr>
            <a:t>Mouse</a:t>
          </a:r>
        </a:p>
      </xdr:txBody>
    </xdr:sp>
    <xdr:clientData/>
  </xdr:twoCellAnchor>
  <xdr:twoCellAnchor editAs="oneCell">
    <xdr:from>
      <xdr:col>17</xdr:col>
      <xdr:colOff>392556</xdr:colOff>
      <xdr:row>0</xdr:row>
      <xdr:rowOff>99697</xdr:rowOff>
    </xdr:from>
    <xdr:to>
      <xdr:col>21</xdr:col>
      <xdr:colOff>542016</xdr:colOff>
      <xdr:row>6</xdr:row>
      <xdr:rowOff>91341</xdr:rowOff>
    </xdr:to>
    <xdr:pic>
      <xdr:nvPicPr>
        <xdr:cNvPr id="8" name="Picture 7">
          <a:extLst>
            <a:ext uri="{FF2B5EF4-FFF2-40B4-BE49-F238E27FC236}">
              <a16:creationId xmlns:a16="http://schemas.microsoft.com/office/drawing/2014/main" id="{0CD39E4B-7AAF-757B-CC77-2266329E29A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837473B0-CC2E-450A-ABE3-18F120FF3D39}">
              <a1611:picAttrSrcUrl xmlns:a1611="http://schemas.microsoft.com/office/drawing/2016/11/main" r:id="rId7"/>
            </a:ext>
          </a:extLst>
        </a:blip>
        <a:stretch>
          <a:fillRect/>
        </a:stretch>
      </xdr:blipFill>
      <xdr:spPr>
        <a:xfrm>
          <a:off x="17295395" y="99697"/>
          <a:ext cx="2732511" cy="1057152"/>
        </a:xfrm>
        <a:prstGeom prst="rect">
          <a:avLst/>
        </a:prstGeom>
      </xdr:spPr>
    </xdr:pic>
    <xdr:clientData/>
  </xdr:twoCellAnchor>
  <xdr:oneCellAnchor>
    <xdr:from>
      <xdr:col>16</xdr:col>
      <xdr:colOff>451185</xdr:colOff>
      <xdr:row>16</xdr:row>
      <xdr:rowOff>121986</xdr:rowOff>
    </xdr:from>
    <xdr:ext cx="2762250" cy="233205"/>
    <xdr:sp macro="" textlink="">
      <xdr:nvSpPr>
        <xdr:cNvPr id="9" name="TextBox 8">
          <a:extLst>
            <a:ext uri="{FF2B5EF4-FFF2-40B4-BE49-F238E27FC236}">
              <a16:creationId xmlns:a16="http://schemas.microsoft.com/office/drawing/2014/main" id="{6D921EE9-AC22-ADBD-9993-8112A2DC603E}"/>
            </a:ext>
          </a:extLst>
        </xdr:cNvPr>
        <xdr:cNvSpPr txBox="1"/>
      </xdr:nvSpPr>
      <xdr:spPr>
        <a:xfrm>
          <a:off x="16777369" y="3063039"/>
          <a:ext cx="2762250"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900"/>
        </a:p>
      </xdr:txBody>
    </xdr:sp>
    <xdr:clientData/>
  </xdr:oneCellAnchor>
  <xdr:twoCellAnchor>
    <xdr:from>
      <xdr:col>10</xdr:col>
      <xdr:colOff>467328</xdr:colOff>
      <xdr:row>10</xdr:row>
      <xdr:rowOff>13454</xdr:rowOff>
    </xdr:from>
    <xdr:to>
      <xdr:col>17</xdr:col>
      <xdr:colOff>24501</xdr:colOff>
      <xdr:row>13</xdr:row>
      <xdr:rowOff>115841</xdr:rowOff>
    </xdr:to>
    <xdr:sp macro="" textlink="Analyze!C33">
      <xdr:nvSpPr>
        <xdr:cNvPr id="23" name="TextBox 22">
          <a:extLst>
            <a:ext uri="{FF2B5EF4-FFF2-40B4-BE49-F238E27FC236}">
              <a16:creationId xmlns:a16="http://schemas.microsoft.com/office/drawing/2014/main" id="{9E11571C-D0F3-C980-1523-CA4CF4CB7359}"/>
            </a:ext>
          </a:extLst>
        </xdr:cNvPr>
        <xdr:cNvSpPr txBox="1"/>
      </xdr:nvSpPr>
      <xdr:spPr>
        <a:xfrm>
          <a:off x="12849828" y="1789301"/>
          <a:ext cx="4077512" cy="6351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5DE306E-BE43-4D4F-89D9-6BC559991423}" type="TxLink">
            <a:rPr lang="en-US" sz="3200" b="0" i="0" u="none" strike="noStrike">
              <a:solidFill>
                <a:srgbClr val="000000"/>
              </a:solidFill>
              <a:latin typeface="Aptos Narrow"/>
            </a:rPr>
            <a:pPr algn="ctr"/>
            <a:t>₦27,871,887</a:t>
          </a:fld>
          <a:endParaRPr lang="en-US" sz="3200"/>
        </a:p>
      </xdr:txBody>
    </xdr:sp>
    <xdr:clientData/>
  </xdr:twoCellAnchor>
  <xdr:twoCellAnchor editAs="oneCell">
    <xdr:from>
      <xdr:col>7</xdr:col>
      <xdr:colOff>258304</xdr:colOff>
      <xdr:row>18</xdr:row>
      <xdr:rowOff>153370</xdr:rowOff>
    </xdr:from>
    <xdr:to>
      <xdr:col>15</xdr:col>
      <xdr:colOff>419745</xdr:colOff>
      <xdr:row>27</xdr:row>
      <xdr:rowOff>298666</xdr:rowOff>
    </xdr:to>
    <mc:AlternateContent xmlns:mc="http://schemas.openxmlformats.org/markup-compatibility/2006" xmlns:tsle="http://schemas.microsoft.com/office/drawing/2012/timeslicer">
      <mc:Choice Requires="tsle">
        <xdr:graphicFrame macro="">
          <xdr:nvGraphicFramePr>
            <xdr:cNvPr id="4" name="Date">
              <a:extLst>
                <a:ext uri="{FF2B5EF4-FFF2-40B4-BE49-F238E27FC236}">
                  <a16:creationId xmlns:a16="http://schemas.microsoft.com/office/drawing/2014/main" id="{47D22374-BE25-7F35-E54C-B2E0A0735CD9}"/>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0703516" y="3349895"/>
              <a:ext cx="5327543" cy="290593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7</xdr:col>
      <xdr:colOff>242161</xdr:colOff>
      <xdr:row>15</xdr:row>
      <xdr:rowOff>40360</xdr:rowOff>
    </xdr:from>
    <xdr:to>
      <xdr:col>15</xdr:col>
      <xdr:colOff>403601</xdr:colOff>
      <xdr:row>18</xdr:row>
      <xdr:rowOff>64577</xdr:rowOff>
    </xdr:to>
    <xdr:sp macro="" textlink="">
      <xdr:nvSpPr>
        <xdr:cNvPr id="5" name="Rectangle 4">
          <a:extLst>
            <a:ext uri="{FF2B5EF4-FFF2-40B4-BE49-F238E27FC236}">
              <a16:creationId xmlns:a16="http://schemas.microsoft.com/office/drawing/2014/main" id="{83847F4D-80E5-C32E-0FD2-34885778D7E3}"/>
            </a:ext>
          </a:extLst>
        </xdr:cNvPr>
        <xdr:cNvSpPr/>
      </xdr:nvSpPr>
      <xdr:spPr>
        <a:xfrm>
          <a:off x="10687373" y="2704131"/>
          <a:ext cx="5327542" cy="556971"/>
        </a:xfrm>
        <a:prstGeom prst="rect">
          <a:avLst/>
        </a:prstGeom>
        <a:solidFill>
          <a:srgbClr val="0096D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2400" b="1">
              <a:solidFill>
                <a:schemeClr val="lt1"/>
              </a:solidFill>
              <a:latin typeface="+mn-lt"/>
              <a:ea typeface="+mn-ea"/>
              <a:cs typeface="+mn-cs"/>
            </a:rPr>
            <a:t>Timeline by Sales</a:t>
          </a:r>
          <a:r>
            <a:rPr lang="en-US" sz="2400" b="1" baseline="0">
              <a:solidFill>
                <a:schemeClr val="lt1"/>
              </a:solidFill>
              <a:latin typeface="+mn-lt"/>
              <a:ea typeface="+mn-ea"/>
              <a:cs typeface="+mn-cs"/>
            </a:rPr>
            <a:t> and Profit Region</a:t>
          </a:r>
          <a:endParaRPr lang="en-US" sz="2400" b="1">
            <a:solidFill>
              <a:schemeClr val="lt1"/>
            </a:solidFill>
            <a:latin typeface="+mn-lt"/>
            <a:ea typeface="+mn-ea"/>
            <a:cs typeface="+mn-cs"/>
          </a:endParaRPr>
        </a:p>
      </xdr:txBody>
    </xdr:sp>
    <xdr:clientData/>
  </xdr:twoCellAnchor>
  <xdr:twoCellAnchor>
    <xdr:from>
      <xdr:col>15</xdr:col>
      <xdr:colOff>484323</xdr:colOff>
      <xdr:row>16</xdr:row>
      <xdr:rowOff>56504</xdr:rowOff>
    </xdr:from>
    <xdr:to>
      <xdr:col>21</xdr:col>
      <xdr:colOff>605403</xdr:colOff>
      <xdr:row>27</xdr:row>
      <xdr:rowOff>322881</xdr:rowOff>
    </xdr:to>
    <mc:AlternateContent xmlns:mc="http://schemas.openxmlformats.org/markup-compatibility/2006">
      <mc:Choice xmlns:am3d="http://schemas.microsoft.com/office/drawing/2017/model3d" Requires="am3d">
        <xdr:graphicFrame macro="">
          <xdr:nvGraphicFramePr>
            <xdr:cNvPr id="6" name="3D Model 5" descr="Graph Growth">
              <a:extLst>
                <a:ext uri="{FF2B5EF4-FFF2-40B4-BE49-F238E27FC236}">
                  <a16:creationId xmlns:a16="http://schemas.microsoft.com/office/drawing/2014/main" id="{7D9DD541-42D3-8754-3D6F-2A57FEEF5F0E}"/>
                </a:ext>
              </a:extLst>
            </xdr:cNvPr>
            <xdr:cNvGraphicFramePr>
              <a:graphicFrameLocks noChangeAspect="1"/>
            </xdr:cNvGraphicFramePr>
          </xdr:nvGraphicFramePr>
          <xdr:xfrm>
            <a:off x="0" y="0"/>
            <a:ext cx="0" cy="0"/>
          </xdr:xfrm>
          <a:graphic>
            <a:graphicData uri="http://schemas.microsoft.com/office/drawing/2017/model3d">
              <am3d:model3d xmlns:r="http://schemas.openxmlformats.org/officeDocument/2006/relationships" r:embed="rId8">
                <am3d:spPr>
                  <a:xfrm>
                    <a:off x="0" y="0"/>
                    <a:ext cx="3995656" cy="3382182"/>
                  </a:xfrm>
                  <a:prstGeom prst="rect">
                    <a:avLst/>
                  </a:prstGeom>
                </am3d:spPr>
                <am3d:camera>
                  <am3d:pos x="0" y="0" z="63144380"/>
                  <am3d:up dx="0" dy="36000000" dz="0"/>
                  <am3d:lookAt x="0" y="0" z="0"/>
                  <am3d:perspective fov="2700000"/>
                </am3d:camera>
                <am3d:trans>
                  <am3d:meterPerModelUnit n="111083" d="1000000"/>
                  <am3d:preTrans dx="0" dy="-18000000" dz="0"/>
                  <am3d:scale>
                    <am3d:sx n="1000000" d="1000000"/>
                    <am3d:sy n="1000000" d="1000000"/>
                    <am3d:sz n="1000000" d="1000000"/>
                  </am3d:scale>
                  <am3d:rot/>
                  <am3d:postTrans dx="0" dy="0" dz="0"/>
                </am3d:trans>
                <am3d:raster rName="Office3DRenderer" rVer="16.0.8326">
                  <am3d:blip r:embed="rId9"/>
                </am3d:raster>
                <am3d:objViewport viewportSz="4728756"/>
                <am3d:ambientLight>
                  <am3d:clr>
                    <a:scrgbClr r="50000" g="50000" b="50000"/>
                  </am3d:clr>
                  <am3d:illuminance n="500000" d="1000000"/>
                </am3d:ambientLight>
                <am3d:ptLight rad="0">
                  <am3d:clr>
                    <a:scrgbClr r="100000" g="75000" b="50000"/>
                  </am3d:clr>
                  <am3d:intensity n="9765625" d="1000000"/>
                  <am3d:pos x="21959998" y="70920001" z="16344003"/>
                </am3d:ptLight>
                <am3d:ptLight rad="0">
                  <am3d:clr>
                    <a:scrgbClr r="40000" g="60000" b="95000"/>
                  </am3d:clr>
                  <am3d:intensity n="12250000" d="1000000"/>
                  <am3d:pos x="-37964106" y="51130435" z="57631972"/>
                </am3d:ptLight>
                <am3d:ptLight rad="0">
                  <am3d:clr>
                    <a:scrgbClr r="86837" g="72700" b="100000"/>
                  </am3d:clr>
                  <am3d:intensity n="3125000" d="1000000"/>
                  <am3d:pos x="-37739122" y="58056624" z="-34769649"/>
                </am3d:ptLight>
              </am3d:model3d>
            </a:graphicData>
          </a:graphic>
        </xdr:graphicFrame>
      </mc:Choice>
      <mc:Fallback>
        <xdr:pic>
          <xdr:nvPicPr>
            <xdr:cNvPr id="6" name="3D Model 5" descr="Graph Growth">
              <a:extLst>
                <a:ext uri="{FF2B5EF4-FFF2-40B4-BE49-F238E27FC236}">
                  <a16:creationId xmlns:a16="http://schemas.microsoft.com/office/drawing/2014/main" id="{7D9DD541-42D3-8754-3D6F-2A57FEEF5F0E}"/>
                </a:ext>
              </a:extLst>
            </xdr:cNvPr>
            <xdr:cNvPicPr>
              <a:picLocks noGrp="1" noRot="1" noChangeAspect="1" noMove="1" noResize="1" noEditPoints="1" noAdjustHandles="1" noChangeArrowheads="1" noChangeShapeType="1" noCrop="1"/>
            </xdr:cNvPicPr>
          </xdr:nvPicPr>
          <xdr:blipFill>
            <a:blip xmlns:r="http://schemas.openxmlformats.org/officeDocument/2006/relationships" r:embed="rId9"/>
            <a:stretch>
              <a:fillRect/>
            </a:stretch>
          </xdr:blipFill>
          <xdr:spPr>
            <a:xfrm>
              <a:off x="16095637" y="2897860"/>
              <a:ext cx="3995656" cy="3382182"/>
            </a:xfrm>
            <a:prstGeom prst="rect">
              <a:avLst/>
            </a:prstGeom>
          </xdr:spPr>
        </xdr:pic>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olas" refreshedDate="45948.433034374997" createdVersion="8" refreshedVersion="8" minRefreshableVersion="3" recordCount="120" xr:uid="{C7682B3D-5C91-49FD-8FCC-1462D33ABC41}">
  <cacheSource type="worksheet">
    <worksheetSource ref="A1:I121" sheet="HP_Nigeria_Sales_Data.xlsx"/>
  </cacheSource>
  <cacheFields count="11">
    <cacheField name="Date" numFmtId="22">
      <sharedItems containsSemiMixedTypes="0" containsNonDate="0" containsDate="1" containsString="0" minDate="2025-01-02T00:00:00" maxDate="2025-06-30T00:00:00" count="85">
        <d v="2025-02-22T00:00:00"/>
        <d v="2025-02-23T00:00:00"/>
        <d v="2025-04-21T00:00:00"/>
        <d v="2025-04-18T00:00:00"/>
        <d v="2025-02-20T00:00:00"/>
        <d v="2025-04-17T00:00:00"/>
        <d v="2025-04-16T00:00:00"/>
        <d v="2025-02-19T00:00:00"/>
        <d v="2025-04-14T00:00:00"/>
        <d v="2025-02-18T00:00:00"/>
        <d v="2025-02-17T00:00:00"/>
        <d v="2025-04-13T00:00:00"/>
        <d v="2025-01-21T00:00:00"/>
        <d v="2025-02-14T00:00:00"/>
        <d v="2025-03-22T00:00:00"/>
        <d v="2025-05-02T00:00:00"/>
        <d v="2025-05-26T00:00:00"/>
        <d v="2025-06-11T00:00:00"/>
        <d v="2025-06-21T00:00:00"/>
        <d v="2025-01-18T00:00:00"/>
        <d v="2025-02-13T00:00:00"/>
        <d v="2025-04-11T00:00:00"/>
        <d v="2025-04-27T00:00:00"/>
        <d v="2025-05-19T00:00:00"/>
        <d v="2025-06-10T00:00:00"/>
        <d v="2025-01-15T00:00:00"/>
        <d v="2025-02-10T00:00:00"/>
        <d v="2025-03-16T00:00:00"/>
        <d v="2025-04-10T00:00:00"/>
        <d v="2025-05-16T00:00:00"/>
        <d v="2025-06-07T00:00:00"/>
        <d v="2025-06-19T00:00:00"/>
        <d v="2025-03-14T00:00:00"/>
        <d v="2025-04-09T00:00:00"/>
        <d v="2025-06-06T00:00:00"/>
        <d v="2025-06-16T00:00:00"/>
        <d v="2025-02-09T00:00:00"/>
        <d v="2025-03-13T00:00:00"/>
        <d v="2025-04-05T00:00:00"/>
        <d v="2025-05-15T00:00:00"/>
        <d v="2025-06-03T00:00:00"/>
        <d v="2025-06-13T00:00:00"/>
        <d v="2025-02-07T00:00:00"/>
        <d v="2025-04-03T00:00:00"/>
        <d v="2025-06-01T00:00:00"/>
        <d v="2025-06-12T00:00:00"/>
        <d v="2025-06-29T00:00:00"/>
        <d v="2025-01-02T00:00:00"/>
        <d v="2025-03-23T00:00:00"/>
        <d v="2025-05-03T00:00:00"/>
        <d v="2025-01-14T00:00:00"/>
        <d v="2025-02-04T00:00:00"/>
        <d v="2025-03-06T00:00:00"/>
        <d v="2025-03-31T00:00:00"/>
        <d v="2025-05-12T00:00:00"/>
        <d v="2025-05-30T00:00:00"/>
        <d v="2025-06-24T00:00:00"/>
        <d v="2025-01-08T00:00:00"/>
        <d v="2025-01-28T00:00:00"/>
        <d v="2025-03-01T00:00:00"/>
        <d v="2025-03-29T00:00:00"/>
        <d v="2025-05-10T00:00:00"/>
        <d v="2025-01-09T00:00:00"/>
        <d v="2025-02-02T00:00:00"/>
        <d v="2025-03-03T00:00:00"/>
        <d v="2025-03-30T00:00:00"/>
        <d v="2025-05-11T00:00:00"/>
        <d v="2025-01-05T00:00:00"/>
        <d v="2025-01-24T00:00:00"/>
        <d v="2025-02-28T00:00:00"/>
        <d v="2025-01-12T00:00:00"/>
        <d v="2025-03-05T00:00:00"/>
        <d v="2025-01-04T00:00:00"/>
        <d v="2025-01-22T00:00:00"/>
        <d v="2025-02-27T00:00:00"/>
        <d v="2025-05-09T00:00:00"/>
        <d v="2025-02-06T00:00:00"/>
        <d v="2025-03-04T00:00:00"/>
        <d v="2025-03-12T00:00:00"/>
        <d v="2025-04-02T00:00:00"/>
        <d v="2025-05-14T00:00:00"/>
        <d v="2025-05-31T00:00:00"/>
        <d v="2025-02-24T00:00:00"/>
        <d v="2025-03-25T00:00:00"/>
        <d v="2025-05-04T00:00:00"/>
      </sharedItems>
      <fieldGroup par="10"/>
    </cacheField>
    <cacheField name="Region" numFmtId="0">
      <sharedItems count="4">
        <s v="South"/>
        <s v="North"/>
        <s v="West"/>
        <s v="East"/>
      </sharedItems>
    </cacheField>
    <cacheField name="Salesperson" numFmtId="0">
      <sharedItems count="6">
        <s v="Ada"/>
        <s v="Efe"/>
        <s v="Bola"/>
        <s v="Chidi"/>
        <s v="Musa"/>
        <s v="Grace"/>
      </sharedItems>
    </cacheField>
    <cacheField name="Product" numFmtId="0">
      <sharedItems count="6">
        <s v="Printer"/>
        <s v="Mouse"/>
        <s v="Monitor"/>
        <s v="Headset"/>
        <s v="Laptop"/>
        <s v="Keyboard"/>
      </sharedItems>
    </cacheField>
    <cacheField name="Cost" numFmtId="0">
      <sharedItems containsSemiMixedTypes="0" containsString="0" containsNumber="1" containsInteger="1" minValue="17" maxValue="21000"/>
    </cacheField>
    <cacheField name="Units Sold" numFmtId="0">
      <sharedItems containsSemiMixedTypes="0" containsString="0" containsNumber="1" containsInteger="1" minValue="1" maxValue="19"/>
    </cacheField>
    <cacheField name="Unit Price" numFmtId="0">
      <sharedItems containsSemiMixedTypes="0" containsString="0" containsNumber="1" containsInteger="1" minValue="5000" maxValue="350000"/>
    </cacheField>
    <cacheField name="Sales" numFmtId="0">
      <sharedItems containsSemiMixedTypes="0" containsString="0" containsNumber="1" containsInteger="1" minValue="5000" maxValue="6650000"/>
    </cacheField>
    <cacheField name="Profit" numFmtId="0">
      <sharedItems containsSemiMixedTypes="0" containsString="0" containsNumber="1" containsInteger="1" minValue="-16000" maxValue="6647500"/>
    </cacheField>
    <cacheField name="Days (Date)" numFmtId="0" databaseField="0">
      <fieldGroup base="0">
        <rangePr groupBy="days" startDate="2025-01-02T00:00:00" endDate="2025-06-30T00:00:00"/>
        <groupItems count="368">
          <s v="&lt;1/2/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6/30/2025"/>
        </groupItems>
      </fieldGroup>
    </cacheField>
    <cacheField name="Months (Date)" numFmtId="0" databaseField="0">
      <fieldGroup base="0">
        <rangePr groupBy="months" startDate="2025-01-02T00:00:00" endDate="2025-06-30T00:00:00"/>
        <groupItems count="14">
          <s v="&lt;1/2/2025"/>
          <s v="Jan"/>
          <s v="Feb"/>
          <s v="Mar"/>
          <s v="Apr"/>
          <s v="May"/>
          <s v="Jun"/>
          <s v="Jul"/>
          <s v="Aug"/>
          <s v="Sep"/>
          <s v="Oct"/>
          <s v="Nov"/>
          <s v="Dec"/>
          <s v="&gt;6/30/2025"/>
        </groupItems>
      </fieldGroup>
    </cacheField>
  </cacheFields>
  <extLst>
    <ext xmlns:x14="http://schemas.microsoft.com/office/spreadsheetml/2009/9/main" uri="{725AE2AE-9491-48be-B2B4-4EB974FC3084}">
      <x14:pivotCacheDefinition pivotCacheId="7247731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x v="0"/>
    <x v="0"/>
    <x v="0"/>
    <x v="0"/>
    <n v="8429"/>
    <n v="15"/>
    <n v="15000"/>
    <n v="225000"/>
    <n v="216571"/>
  </r>
  <r>
    <x v="1"/>
    <x v="1"/>
    <x v="1"/>
    <x v="1"/>
    <n v="8429"/>
    <n v="18"/>
    <n v="120000"/>
    <n v="2160000"/>
    <n v="2151571"/>
  </r>
  <r>
    <x v="2"/>
    <x v="2"/>
    <x v="2"/>
    <x v="2"/>
    <n v="8429"/>
    <n v="10"/>
    <n v="5000"/>
    <n v="50000"/>
    <n v="41571"/>
  </r>
  <r>
    <x v="0"/>
    <x v="2"/>
    <x v="0"/>
    <x v="3"/>
    <n v="7779"/>
    <n v="12"/>
    <n v="80000"/>
    <n v="960000"/>
    <n v="952221"/>
  </r>
  <r>
    <x v="2"/>
    <x v="1"/>
    <x v="3"/>
    <x v="2"/>
    <n v="7779"/>
    <n v="10"/>
    <n v="15000"/>
    <n v="150000"/>
    <n v="142221"/>
  </r>
  <r>
    <x v="0"/>
    <x v="1"/>
    <x v="4"/>
    <x v="4"/>
    <n v="7130"/>
    <n v="12"/>
    <n v="5000"/>
    <n v="60000"/>
    <n v="52870"/>
  </r>
  <r>
    <x v="3"/>
    <x v="1"/>
    <x v="1"/>
    <x v="0"/>
    <n v="7130"/>
    <n v="19"/>
    <n v="10000"/>
    <n v="190000"/>
    <n v="182870"/>
  </r>
  <r>
    <x v="4"/>
    <x v="3"/>
    <x v="2"/>
    <x v="2"/>
    <n v="6480"/>
    <n v="7"/>
    <n v="350000"/>
    <n v="2450000"/>
    <n v="2443520"/>
  </r>
  <r>
    <x v="5"/>
    <x v="1"/>
    <x v="5"/>
    <x v="1"/>
    <n v="6480"/>
    <n v="1"/>
    <n v="350000"/>
    <n v="350000"/>
    <n v="343520"/>
  </r>
  <r>
    <x v="4"/>
    <x v="3"/>
    <x v="3"/>
    <x v="2"/>
    <n v="5830"/>
    <n v="4"/>
    <n v="350000"/>
    <n v="1400000"/>
    <n v="1394170"/>
  </r>
  <r>
    <x v="6"/>
    <x v="1"/>
    <x v="4"/>
    <x v="5"/>
    <n v="5830"/>
    <n v="2"/>
    <n v="10000"/>
    <n v="20000"/>
    <n v="14170"/>
  </r>
  <r>
    <x v="7"/>
    <x v="2"/>
    <x v="0"/>
    <x v="3"/>
    <n v="5181"/>
    <n v="11"/>
    <n v="15000"/>
    <n v="165000"/>
    <n v="159819"/>
  </r>
  <r>
    <x v="8"/>
    <x v="1"/>
    <x v="0"/>
    <x v="4"/>
    <n v="5181"/>
    <n v="4"/>
    <n v="80000"/>
    <n v="320000"/>
    <n v="314819"/>
  </r>
  <r>
    <x v="9"/>
    <x v="1"/>
    <x v="3"/>
    <x v="3"/>
    <n v="4531"/>
    <n v="4"/>
    <n v="10000"/>
    <n v="40000"/>
    <n v="35469"/>
  </r>
  <r>
    <x v="8"/>
    <x v="1"/>
    <x v="0"/>
    <x v="1"/>
    <n v="4531"/>
    <n v="12"/>
    <n v="80000"/>
    <n v="960000"/>
    <n v="955469"/>
  </r>
  <r>
    <x v="10"/>
    <x v="3"/>
    <x v="4"/>
    <x v="0"/>
    <n v="3881"/>
    <n v="13"/>
    <n v="350000"/>
    <n v="4550000"/>
    <n v="4546119"/>
  </r>
  <r>
    <x v="8"/>
    <x v="3"/>
    <x v="5"/>
    <x v="3"/>
    <n v="3881"/>
    <n v="16"/>
    <n v="80000"/>
    <n v="1280000"/>
    <n v="1276119"/>
  </r>
  <r>
    <x v="10"/>
    <x v="1"/>
    <x v="4"/>
    <x v="2"/>
    <n v="3232"/>
    <n v="16"/>
    <n v="10000"/>
    <n v="160000"/>
    <n v="156768"/>
  </r>
  <r>
    <x v="11"/>
    <x v="3"/>
    <x v="4"/>
    <x v="4"/>
    <n v="3232"/>
    <n v="4"/>
    <n v="5000"/>
    <n v="20000"/>
    <n v="16768"/>
  </r>
  <r>
    <x v="12"/>
    <x v="3"/>
    <x v="2"/>
    <x v="4"/>
    <n v="2582"/>
    <n v="9"/>
    <n v="350000"/>
    <n v="3150000"/>
    <n v="3147418"/>
  </r>
  <r>
    <x v="13"/>
    <x v="3"/>
    <x v="3"/>
    <x v="1"/>
    <n v="2582"/>
    <n v="19"/>
    <n v="80000"/>
    <n v="1520000"/>
    <n v="1517418"/>
  </r>
  <r>
    <x v="14"/>
    <x v="1"/>
    <x v="3"/>
    <x v="3"/>
    <n v="2582"/>
    <n v="19"/>
    <n v="5000"/>
    <n v="95000"/>
    <n v="92418"/>
  </r>
  <r>
    <x v="11"/>
    <x v="3"/>
    <x v="0"/>
    <x v="3"/>
    <n v="2582"/>
    <n v="17"/>
    <n v="5000"/>
    <n v="85000"/>
    <n v="82418"/>
  </r>
  <r>
    <x v="15"/>
    <x v="0"/>
    <x v="1"/>
    <x v="1"/>
    <n v="2582"/>
    <n v="7"/>
    <n v="5000"/>
    <n v="35000"/>
    <n v="32418"/>
  </r>
  <r>
    <x v="16"/>
    <x v="1"/>
    <x v="3"/>
    <x v="2"/>
    <n v="2582"/>
    <n v="12"/>
    <n v="80000"/>
    <n v="960000"/>
    <n v="957418"/>
  </r>
  <r>
    <x v="17"/>
    <x v="1"/>
    <x v="5"/>
    <x v="5"/>
    <n v="2582"/>
    <n v="3"/>
    <n v="80000"/>
    <n v="240000"/>
    <n v="237418"/>
  </r>
  <r>
    <x v="18"/>
    <x v="3"/>
    <x v="4"/>
    <x v="0"/>
    <n v="2582"/>
    <n v="5"/>
    <n v="120000"/>
    <n v="600000"/>
    <n v="597418"/>
  </r>
  <r>
    <x v="19"/>
    <x v="0"/>
    <x v="0"/>
    <x v="2"/>
    <n v="1932"/>
    <n v="4"/>
    <n v="120000"/>
    <n v="480000"/>
    <n v="478068"/>
  </r>
  <r>
    <x v="20"/>
    <x v="2"/>
    <x v="0"/>
    <x v="0"/>
    <n v="1932"/>
    <n v="3"/>
    <n v="120000"/>
    <n v="360000"/>
    <n v="358068"/>
  </r>
  <r>
    <x v="14"/>
    <x v="0"/>
    <x v="5"/>
    <x v="4"/>
    <n v="1932"/>
    <n v="9"/>
    <n v="5000"/>
    <n v="45000"/>
    <n v="43068"/>
  </r>
  <r>
    <x v="21"/>
    <x v="1"/>
    <x v="0"/>
    <x v="3"/>
    <n v="1932"/>
    <n v="9"/>
    <n v="120000"/>
    <n v="1080000"/>
    <n v="1078068"/>
  </r>
  <r>
    <x v="22"/>
    <x v="1"/>
    <x v="0"/>
    <x v="3"/>
    <n v="1932"/>
    <n v="18"/>
    <n v="5000"/>
    <n v="90000"/>
    <n v="88068"/>
  </r>
  <r>
    <x v="23"/>
    <x v="0"/>
    <x v="1"/>
    <x v="0"/>
    <n v="1932"/>
    <n v="15"/>
    <n v="80000"/>
    <n v="1200000"/>
    <n v="1198068"/>
  </r>
  <r>
    <x v="24"/>
    <x v="1"/>
    <x v="5"/>
    <x v="1"/>
    <n v="1932"/>
    <n v="13"/>
    <n v="120000"/>
    <n v="1560000"/>
    <n v="1558068"/>
  </r>
  <r>
    <x v="18"/>
    <x v="0"/>
    <x v="0"/>
    <x v="4"/>
    <n v="1932"/>
    <n v="5"/>
    <n v="15000"/>
    <n v="75000"/>
    <n v="73068"/>
  </r>
  <r>
    <x v="25"/>
    <x v="2"/>
    <x v="4"/>
    <x v="5"/>
    <n v="1282"/>
    <n v="14"/>
    <n v="15000"/>
    <n v="210000"/>
    <n v="208718"/>
  </r>
  <r>
    <x v="26"/>
    <x v="3"/>
    <x v="4"/>
    <x v="1"/>
    <n v="1282"/>
    <n v="10"/>
    <n v="80000"/>
    <n v="800000"/>
    <n v="798718"/>
  </r>
  <r>
    <x v="27"/>
    <x v="3"/>
    <x v="3"/>
    <x v="1"/>
    <n v="1282"/>
    <n v="4"/>
    <n v="80000"/>
    <n v="320000"/>
    <n v="318718"/>
  </r>
  <r>
    <x v="28"/>
    <x v="3"/>
    <x v="4"/>
    <x v="0"/>
    <n v="1282"/>
    <n v="5"/>
    <n v="350000"/>
    <n v="1750000"/>
    <n v="1748718"/>
  </r>
  <r>
    <x v="29"/>
    <x v="0"/>
    <x v="0"/>
    <x v="1"/>
    <n v="1282"/>
    <n v="5"/>
    <n v="15000"/>
    <n v="75000"/>
    <n v="73718"/>
  </r>
  <r>
    <x v="30"/>
    <x v="2"/>
    <x v="0"/>
    <x v="4"/>
    <n v="1282"/>
    <n v="5"/>
    <n v="120000"/>
    <n v="600000"/>
    <n v="598718"/>
  </r>
  <r>
    <x v="31"/>
    <x v="3"/>
    <x v="3"/>
    <x v="5"/>
    <n v="1282"/>
    <n v="17"/>
    <n v="5000"/>
    <n v="85000"/>
    <n v="83718"/>
  </r>
  <r>
    <x v="25"/>
    <x v="1"/>
    <x v="2"/>
    <x v="2"/>
    <n v="633"/>
    <n v="2"/>
    <n v="80000"/>
    <n v="160000"/>
    <n v="159367"/>
  </r>
  <r>
    <x v="26"/>
    <x v="0"/>
    <x v="2"/>
    <x v="0"/>
    <n v="633"/>
    <n v="1"/>
    <n v="80000"/>
    <n v="80000"/>
    <n v="79367"/>
  </r>
  <r>
    <x v="32"/>
    <x v="0"/>
    <x v="1"/>
    <x v="5"/>
    <n v="633"/>
    <n v="7"/>
    <n v="350000"/>
    <n v="2450000"/>
    <n v="2449367"/>
  </r>
  <r>
    <x v="33"/>
    <x v="0"/>
    <x v="5"/>
    <x v="3"/>
    <n v="633"/>
    <n v="10"/>
    <n v="350000"/>
    <n v="3500000"/>
    <n v="3499367"/>
  </r>
  <r>
    <x v="29"/>
    <x v="2"/>
    <x v="4"/>
    <x v="3"/>
    <n v="633"/>
    <n v="1"/>
    <n v="350000"/>
    <n v="350000"/>
    <n v="349367"/>
  </r>
  <r>
    <x v="34"/>
    <x v="2"/>
    <x v="2"/>
    <x v="0"/>
    <n v="633"/>
    <n v="5"/>
    <n v="15000"/>
    <n v="75000"/>
    <n v="74367"/>
  </r>
  <r>
    <x v="35"/>
    <x v="2"/>
    <x v="0"/>
    <x v="2"/>
    <n v="633"/>
    <n v="9"/>
    <n v="5000"/>
    <n v="45000"/>
    <n v="44367"/>
  </r>
  <r>
    <x v="25"/>
    <x v="0"/>
    <x v="3"/>
    <x v="3"/>
    <n v="17"/>
    <n v="5"/>
    <n v="10000"/>
    <n v="50000"/>
    <n v="49983"/>
  </r>
  <r>
    <x v="36"/>
    <x v="2"/>
    <x v="4"/>
    <x v="0"/>
    <n v="17"/>
    <n v="17"/>
    <n v="15000"/>
    <n v="255000"/>
    <n v="254983"/>
  </r>
  <r>
    <x v="37"/>
    <x v="1"/>
    <x v="4"/>
    <x v="5"/>
    <n v="17"/>
    <n v="5"/>
    <n v="15000"/>
    <n v="75000"/>
    <n v="74983"/>
  </r>
  <r>
    <x v="38"/>
    <x v="3"/>
    <x v="1"/>
    <x v="2"/>
    <n v="17"/>
    <n v="8"/>
    <n v="10000"/>
    <n v="80000"/>
    <n v="79983"/>
  </r>
  <r>
    <x v="39"/>
    <x v="1"/>
    <x v="4"/>
    <x v="0"/>
    <n v="17"/>
    <n v="9"/>
    <n v="10000"/>
    <n v="90000"/>
    <n v="89983"/>
  </r>
  <r>
    <x v="40"/>
    <x v="1"/>
    <x v="2"/>
    <x v="1"/>
    <n v="17"/>
    <n v="2"/>
    <n v="10000"/>
    <n v="20000"/>
    <n v="19983"/>
  </r>
  <r>
    <x v="41"/>
    <x v="3"/>
    <x v="3"/>
    <x v="1"/>
    <n v="17"/>
    <n v="7"/>
    <n v="5000"/>
    <n v="35000"/>
    <n v="34983"/>
  </r>
  <r>
    <x v="25"/>
    <x v="1"/>
    <x v="2"/>
    <x v="5"/>
    <n v="667"/>
    <n v="13"/>
    <n v="350000"/>
    <n v="4550000"/>
    <n v="4549333"/>
  </r>
  <r>
    <x v="42"/>
    <x v="3"/>
    <x v="1"/>
    <x v="0"/>
    <n v="667"/>
    <n v="17"/>
    <n v="15000"/>
    <n v="255000"/>
    <n v="254333"/>
  </r>
  <r>
    <x v="37"/>
    <x v="0"/>
    <x v="1"/>
    <x v="5"/>
    <n v="667"/>
    <n v="4"/>
    <n v="80000"/>
    <n v="320000"/>
    <n v="319333"/>
  </r>
  <r>
    <x v="43"/>
    <x v="3"/>
    <x v="4"/>
    <x v="3"/>
    <n v="667"/>
    <n v="3"/>
    <n v="80000"/>
    <n v="240000"/>
    <n v="239333"/>
  </r>
  <r>
    <x v="39"/>
    <x v="3"/>
    <x v="0"/>
    <x v="0"/>
    <n v="667"/>
    <n v="17"/>
    <n v="5000"/>
    <n v="85000"/>
    <n v="84333"/>
  </r>
  <r>
    <x v="44"/>
    <x v="0"/>
    <x v="1"/>
    <x v="0"/>
    <n v="667"/>
    <n v="17"/>
    <n v="15000"/>
    <n v="255000"/>
    <n v="254333"/>
  </r>
  <r>
    <x v="45"/>
    <x v="2"/>
    <x v="1"/>
    <x v="5"/>
    <n v="667"/>
    <n v="5"/>
    <n v="120000"/>
    <n v="600000"/>
    <n v="599333"/>
  </r>
  <r>
    <x v="46"/>
    <x v="0"/>
    <x v="3"/>
    <x v="1"/>
    <n v="667"/>
    <n v="1"/>
    <n v="15000"/>
    <n v="15000"/>
    <n v="14333"/>
  </r>
  <r>
    <x v="47"/>
    <x v="3"/>
    <x v="3"/>
    <x v="3"/>
    <n v="1000"/>
    <n v="7"/>
    <n v="350000"/>
    <n v="2450000"/>
    <n v="2449000"/>
  </r>
  <r>
    <x v="12"/>
    <x v="3"/>
    <x v="3"/>
    <x v="2"/>
    <n v="1000"/>
    <n v="3"/>
    <n v="350000"/>
    <n v="1050000"/>
    <n v="1049000"/>
  </r>
  <r>
    <x v="1"/>
    <x v="0"/>
    <x v="1"/>
    <x v="2"/>
    <n v="1000"/>
    <n v="11"/>
    <n v="120000"/>
    <n v="1320000"/>
    <n v="1319000"/>
  </r>
  <r>
    <x v="48"/>
    <x v="3"/>
    <x v="0"/>
    <x v="2"/>
    <n v="1000"/>
    <n v="1"/>
    <n v="10000"/>
    <n v="10000"/>
    <n v="9000"/>
  </r>
  <r>
    <x v="49"/>
    <x v="3"/>
    <x v="3"/>
    <x v="3"/>
    <n v="1000"/>
    <n v="15"/>
    <n v="15000"/>
    <n v="225000"/>
    <n v="224000"/>
  </r>
  <r>
    <x v="50"/>
    <x v="1"/>
    <x v="3"/>
    <x v="4"/>
    <n v="1300"/>
    <n v="18"/>
    <n v="80000"/>
    <n v="1440000"/>
    <n v="1438700"/>
  </r>
  <r>
    <x v="51"/>
    <x v="2"/>
    <x v="5"/>
    <x v="2"/>
    <n v="1300"/>
    <n v="12"/>
    <n v="15000"/>
    <n v="180000"/>
    <n v="178700"/>
  </r>
  <r>
    <x v="52"/>
    <x v="3"/>
    <x v="5"/>
    <x v="3"/>
    <n v="1300"/>
    <n v="12"/>
    <n v="120000"/>
    <n v="1440000"/>
    <n v="1438700"/>
  </r>
  <r>
    <x v="53"/>
    <x v="0"/>
    <x v="2"/>
    <x v="0"/>
    <n v="1300"/>
    <n v="13"/>
    <n v="15000"/>
    <n v="195000"/>
    <n v="193700"/>
  </r>
  <r>
    <x v="54"/>
    <x v="3"/>
    <x v="3"/>
    <x v="4"/>
    <n v="1300"/>
    <n v="1"/>
    <n v="15000"/>
    <n v="15000"/>
    <n v="13700"/>
  </r>
  <r>
    <x v="55"/>
    <x v="2"/>
    <x v="4"/>
    <x v="1"/>
    <n v="1300"/>
    <n v="1"/>
    <n v="350000"/>
    <n v="350000"/>
    <n v="348700"/>
  </r>
  <r>
    <x v="17"/>
    <x v="1"/>
    <x v="1"/>
    <x v="5"/>
    <n v="1300"/>
    <n v="16"/>
    <n v="15000"/>
    <n v="240000"/>
    <n v="238700"/>
  </r>
  <r>
    <x v="56"/>
    <x v="3"/>
    <x v="3"/>
    <x v="4"/>
    <n v="1300"/>
    <n v="2"/>
    <n v="5000"/>
    <n v="10000"/>
    <n v="8700"/>
  </r>
  <r>
    <x v="57"/>
    <x v="0"/>
    <x v="4"/>
    <x v="3"/>
    <n v="1500"/>
    <n v="16"/>
    <n v="350000"/>
    <n v="5600000"/>
    <n v="5598500"/>
  </r>
  <r>
    <x v="58"/>
    <x v="1"/>
    <x v="4"/>
    <x v="2"/>
    <n v="1500"/>
    <n v="8"/>
    <n v="10000"/>
    <n v="80000"/>
    <n v="78500"/>
  </r>
  <r>
    <x v="59"/>
    <x v="0"/>
    <x v="2"/>
    <x v="4"/>
    <n v="1500"/>
    <n v="16"/>
    <n v="5000"/>
    <n v="80000"/>
    <n v="78500"/>
  </r>
  <r>
    <x v="60"/>
    <x v="3"/>
    <x v="3"/>
    <x v="0"/>
    <n v="1500"/>
    <n v="19"/>
    <n v="120000"/>
    <n v="2280000"/>
    <n v="2278500"/>
  </r>
  <r>
    <x v="61"/>
    <x v="2"/>
    <x v="1"/>
    <x v="2"/>
    <n v="1500"/>
    <n v="10"/>
    <n v="80000"/>
    <n v="800000"/>
    <n v="798500"/>
  </r>
  <r>
    <x v="62"/>
    <x v="2"/>
    <x v="0"/>
    <x v="1"/>
    <n v="2000"/>
    <n v="1"/>
    <n v="80000"/>
    <n v="80000"/>
    <n v="78000"/>
  </r>
  <r>
    <x v="63"/>
    <x v="3"/>
    <x v="3"/>
    <x v="1"/>
    <n v="2000"/>
    <n v="3"/>
    <n v="15000"/>
    <n v="45000"/>
    <n v="43000"/>
  </r>
  <r>
    <x v="64"/>
    <x v="0"/>
    <x v="3"/>
    <x v="3"/>
    <n v="2000"/>
    <n v="16"/>
    <n v="5000"/>
    <n v="80000"/>
    <n v="78000"/>
  </r>
  <r>
    <x v="65"/>
    <x v="0"/>
    <x v="1"/>
    <x v="3"/>
    <n v="2000"/>
    <n v="4"/>
    <n v="15000"/>
    <n v="60000"/>
    <n v="58000"/>
  </r>
  <r>
    <x v="66"/>
    <x v="2"/>
    <x v="0"/>
    <x v="0"/>
    <n v="2000"/>
    <n v="17"/>
    <n v="80000"/>
    <n v="1360000"/>
    <n v="1358000"/>
  </r>
  <r>
    <x v="67"/>
    <x v="0"/>
    <x v="4"/>
    <x v="2"/>
    <n v="2100"/>
    <n v="13"/>
    <n v="5000"/>
    <n v="65000"/>
    <n v="62900"/>
  </r>
  <r>
    <x v="68"/>
    <x v="1"/>
    <x v="5"/>
    <x v="4"/>
    <n v="2100"/>
    <n v="12"/>
    <n v="15000"/>
    <n v="180000"/>
    <n v="177900"/>
  </r>
  <r>
    <x v="69"/>
    <x v="3"/>
    <x v="1"/>
    <x v="4"/>
    <n v="2100"/>
    <n v="12"/>
    <n v="80000"/>
    <n v="960000"/>
    <n v="957900"/>
  </r>
  <r>
    <x v="60"/>
    <x v="3"/>
    <x v="0"/>
    <x v="3"/>
    <n v="2100"/>
    <n v="13"/>
    <n v="120000"/>
    <n v="1560000"/>
    <n v="1557900"/>
  </r>
  <r>
    <x v="61"/>
    <x v="1"/>
    <x v="3"/>
    <x v="3"/>
    <n v="2100"/>
    <n v="5"/>
    <n v="10000"/>
    <n v="50000"/>
    <n v="47900"/>
  </r>
  <r>
    <x v="70"/>
    <x v="2"/>
    <x v="4"/>
    <x v="4"/>
    <n v="2500"/>
    <n v="18"/>
    <n v="80000"/>
    <n v="1440000"/>
    <n v="1437500"/>
  </r>
  <r>
    <x v="51"/>
    <x v="2"/>
    <x v="1"/>
    <x v="1"/>
    <n v="2500"/>
    <n v="19"/>
    <n v="350000"/>
    <n v="6650000"/>
    <n v="6647500"/>
  </r>
  <r>
    <x v="71"/>
    <x v="1"/>
    <x v="0"/>
    <x v="5"/>
    <n v="2500"/>
    <n v="3"/>
    <n v="120000"/>
    <n v="360000"/>
    <n v="357500"/>
  </r>
  <r>
    <x v="65"/>
    <x v="1"/>
    <x v="4"/>
    <x v="4"/>
    <n v="2500"/>
    <n v="16"/>
    <n v="120000"/>
    <n v="1920000"/>
    <n v="1917500"/>
  </r>
  <r>
    <x v="54"/>
    <x v="0"/>
    <x v="2"/>
    <x v="2"/>
    <n v="2500"/>
    <n v="12"/>
    <n v="120000"/>
    <n v="1440000"/>
    <n v="1437500"/>
  </r>
  <r>
    <x v="72"/>
    <x v="3"/>
    <x v="0"/>
    <x v="1"/>
    <n v="3000"/>
    <n v="3"/>
    <n v="15000"/>
    <n v="45000"/>
    <n v="42000"/>
  </r>
  <r>
    <x v="73"/>
    <x v="2"/>
    <x v="1"/>
    <x v="1"/>
    <n v="3000"/>
    <n v="16"/>
    <n v="5000"/>
    <n v="80000"/>
    <n v="77000"/>
  </r>
  <r>
    <x v="74"/>
    <x v="2"/>
    <x v="3"/>
    <x v="4"/>
    <n v="3000"/>
    <n v="17"/>
    <n v="120000"/>
    <n v="2040000"/>
    <n v="2037000"/>
  </r>
  <r>
    <x v="60"/>
    <x v="2"/>
    <x v="1"/>
    <x v="1"/>
    <n v="3000"/>
    <n v="19"/>
    <n v="80000"/>
    <n v="1520000"/>
    <n v="1517000"/>
  </r>
  <r>
    <x v="75"/>
    <x v="1"/>
    <x v="0"/>
    <x v="1"/>
    <n v="3000"/>
    <n v="14"/>
    <n v="5000"/>
    <n v="70000"/>
    <n v="67000"/>
  </r>
  <r>
    <x v="62"/>
    <x v="1"/>
    <x v="1"/>
    <x v="5"/>
    <n v="4000"/>
    <n v="16"/>
    <n v="80000"/>
    <n v="1280000"/>
    <n v="1276000"/>
  </r>
  <r>
    <x v="50"/>
    <x v="1"/>
    <x v="4"/>
    <x v="4"/>
    <n v="4000"/>
    <n v="19"/>
    <n v="120000"/>
    <n v="2280000"/>
    <n v="2276000"/>
  </r>
  <r>
    <x v="63"/>
    <x v="0"/>
    <x v="3"/>
    <x v="1"/>
    <n v="4000"/>
    <n v="3"/>
    <n v="5000"/>
    <n v="15000"/>
    <n v="11000"/>
  </r>
  <r>
    <x v="76"/>
    <x v="2"/>
    <x v="2"/>
    <x v="2"/>
    <n v="4000"/>
    <n v="16"/>
    <n v="120000"/>
    <n v="1920000"/>
    <n v="1916000"/>
  </r>
  <r>
    <x v="77"/>
    <x v="1"/>
    <x v="5"/>
    <x v="1"/>
    <n v="4000"/>
    <n v="14"/>
    <n v="350000"/>
    <n v="4900000"/>
    <n v="4896000"/>
  </r>
  <r>
    <x v="78"/>
    <x v="2"/>
    <x v="1"/>
    <x v="3"/>
    <n v="4000"/>
    <n v="16"/>
    <n v="5000"/>
    <n v="80000"/>
    <n v="76000"/>
  </r>
  <r>
    <x v="65"/>
    <x v="0"/>
    <x v="0"/>
    <x v="4"/>
    <n v="4000"/>
    <n v="14"/>
    <n v="10000"/>
    <n v="140000"/>
    <n v="136000"/>
  </r>
  <r>
    <x v="79"/>
    <x v="2"/>
    <x v="0"/>
    <x v="5"/>
    <n v="4000"/>
    <n v="7"/>
    <n v="10000"/>
    <n v="70000"/>
    <n v="66000"/>
  </r>
  <r>
    <x v="66"/>
    <x v="0"/>
    <x v="2"/>
    <x v="5"/>
    <n v="4000"/>
    <n v="13"/>
    <n v="120000"/>
    <n v="1560000"/>
    <n v="1556000"/>
  </r>
  <r>
    <x v="80"/>
    <x v="1"/>
    <x v="3"/>
    <x v="0"/>
    <n v="4000"/>
    <n v="19"/>
    <n v="10000"/>
    <n v="190000"/>
    <n v="186000"/>
  </r>
  <r>
    <x v="81"/>
    <x v="0"/>
    <x v="3"/>
    <x v="2"/>
    <n v="4000"/>
    <n v="12"/>
    <n v="5000"/>
    <n v="60000"/>
    <n v="56000"/>
  </r>
  <r>
    <x v="45"/>
    <x v="2"/>
    <x v="0"/>
    <x v="0"/>
    <n v="4000"/>
    <n v="17"/>
    <n v="80000"/>
    <n v="1360000"/>
    <n v="1356000"/>
  </r>
  <r>
    <x v="56"/>
    <x v="3"/>
    <x v="1"/>
    <x v="1"/>
    <n v="4000"/>
    <n v="5"/>
    <n v="10000"/>
    <n v="50000"/>
    <n v="46000"/>
  </r>
  <r>
    <x v="47"/>
    <x v="0"/>
    <x v="3"/>
    <x v="0"/>
    <n v="21000"/>
    <n v="8"/>
    <n v="350000"/>
    <n v="2800000"/>
    <n v="2779000"/>
  </r>
  <r>
    <x v="12"/>
    <x v="2"/>
    <x v="4"/>
    <x v="5"/>
    <n v="21000"/>
    <n v="4"/>
    <n v="120000"/>
    <n v="480000"/>
    <n v="459000"/>
  </r>
  <r>
    <x v="82"/>
    <x v="2"/>
    <x v="1"/>
    <x v="2"/>
    <n v="21000"/>
    <n v="2"/>
    <n v="350000"/>
    <n v="700000"/>
    <n v="679000"/>
  </r>
  <r>
    <x v="83"/>
    <x v="2"/>
    <x v="1"/>
    <x v="2"/>
    <n v="21000"/>
    <n v="11"/>
    <n v="5000"/>
    <n v="55000"/>
    <n v="34000"/>
  </r>
  <r>
    <x v="84"/>
    <x v="3"/>
    <x v="4"/>
    <x v="2"/>
    <n v="21000"/>
    <n v="1"/>
    <n v="5000"/>
    <n v="5000"/>
    <n v="-16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1CCF08-F036-4082-BCF4-702DF7932467}"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1:B18" firstHeaderRow="1" firstDataRow="1" firstDataCol="1"/>
  <pivotFields count="11">
    <pivotField numFmtId="22" showAll="0">
      <items count="86">
        <item x="47"/>
        <item x="72"/>
        <item x="67"/>
        <item x="57"/>
        <item x="62"/>
        <item x="70"/>
        <item x="50"/>
        <item x="25"/>
        <item x="19"/>
        <item x="12"/>
        <item x="73"/>
        <item x="68"/>
        <item x="58"/>
        <item x="63"/>
        <item x="51"/>
        <item x="76"/>
        <item x="42"/>
        <item x="36"/>
        <item x="26"/>
        <item x="20"/>
        <item x="13"/>
        <item x="10"/>
        <item x="9"/>
        <item x="7"/>
        <item x="4"/>
        <item x="0"/>
        <item x="1"/>
        <item x="82"/>
        <item x="74"/>
        <item x="69"/>
        <item x="59"/>
        <item x="64"/>
        <item x="77"/>
        <item x="71"/>
        <item x="52"/>
        <item x="78"/>
        <item x="37"/>
        <item x="32"/>
        <item x="27"/>
        <item x="14"/>
        <item x="48"/>
        <item x="83"/>
        <item x="60"/>
        <item x="65"/>
        <item x="53"/>
        <item x="79"/>
        <item x="43"/>
        <item x="38"/>
        <item x="33"/>
        <item x="28"/>
        <item x="21"/>
        <item x="11"/>
        <item x="8"/>
        <item x="6"/>
        <item x="5"/>
        <item x="3"/>
        <item x="2"/>
        <item x="22"/>
        <item x="15"/>
        <item x="49"/>
        <item x="84"/>
        <item x="75"/>
        <item x="61"/>
        <item x="66"/>
        <item x="54"/>
        <item x="80"/>
        <item x="39"/>
        <item x="29"/>
        <item x="23"/>
        <item x="16"/>
        <item x="55"/>
        <item x="81"/>
        <item x="44"/>
        <item x="40"/>
        <item x="34"/>
        <item x="30"/>
        <item x="24"/>
        <item x="17"/>
        <item x="45"/>
        <item x="41"/>
        <item x="35"/>
        <item x="31"/>
        <item x="18"/>
        <item x="56"/>
        <item x="46"/>
        <item t="default"/>
      </items>
    </pivotField>
    <pivotField showAll="0">
      <items count="5">
        <item x="3"/>
        <item x="1"/>
        <item x="0"/>
        <item x="2"/>
        <item t="default"/>
      </items>
    </pivotField>
    <pivotField axis="axisRow" showAll="0">
      <items count="7">
        <item x="0"/>
        <item x="2"/>
        <item x="3"/>
        <item x="1"/>
        <item x="5"/>
        <item x="4"/>
        <item t="default"/>
      </items>
    </pivotField>
    <pivotField showAll="0">
      <items count="7">
        <item x="3"/>
        <item x="5"/>
        <item x="4"/>
        <item x="2"/>
        <item x="1"/>
        <item x="0"/>
        <item t="default"/>
      </items>
    </pivotField>
    <pivotField showAll="0"/>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7">
    <i>
      <x/>
    </i>
    <i>
      <x v="1"/>
    </i>
    <i>
      <x v="2"/>
    </i>
    <i>
      <x v="3"/>
    </i>
    <i>
      <x v="4"/>
    </i>
    <i>
      <x v="5"/>
    </i>
    <i t="grand">
      <x/>
    </i>
  </rowItems>
  <colItems count="1">
    <i/>
  </colItems>
  <dataFields count="1">
    <dataField name="Sum of Profit" fld="8" baseField="0" baseItem="0"/>
  </dataFields>
  <formats count="1">
    <format dxfId="3">
      <pivotArea dataOnly="0" labelOnly="1" outline="0" axis="axisValues" fieldPosition="0"/>
    </format>
  </formats>
  <chartFormats count="1">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6B0A48C-6038-452D-AAAF-71EB2BD13EE7}"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C8" firstHeaderRow="0" firstDataRow="1" firstDataCol="1" rowPageCount="1" colPageCount="1"/>
  <pivotFields count="11">
    <pivotField axis="axisPage" numFmtId="22" showAll="0">
      <items count="86">
        <item x="47"/>
        <item x="72"/>
        <item x="67"/>
        <item x="57"/>
        <item x="62"/>
        <item x="70"/>
        <item x="50"/>
        <item x="25"/>
        <item x="19"/>
        <item x="12"/>
        <item x="73"/>
        <item x="68"/>
        <item x="58"/>
        <item x="63"/>
        <item x="51"/>
        <item x="76"/>
        <item x="42"/>
        <item x="36"/>
        <item x="26"/>
        <item x="20"/>
        <item x="13"/>
        <item x="10"/>
        <item x="9"/>
        <item x="7"/>
        <item x="4"/>
        <item x="0"/>
        <item x="1"/>
        <item x="82"/>
        <item x="74"/>
        <item x="69"/>
        <item x="59"/>
        <item x="64"/>
        <item x="77"/>
        <item x="71"/>
        <item x="52"/>
        <item x="78"/>
        <item x="37"/>
        <item x="32"/>
        <item x="27"/>
        <item x="14"/>
        <item x="48"/>
        <item x="83"/>
        <item x="60"/>
        <item x="65"/>
        <item x="53"/>
        <item x="79"/>
        <item x="43"/>
        <item x="38"/>
        <item x="33"/>
        <item x="28"/>
        <item x="21"/>
        <item x="11"/>
        <item x="8"/>
        <item x="6"/>
        <item x="5"/>
        <item x="3"/>
        <item x="2"/>
        <item x="22"/>
        <item x="15"/>
        <item x="49"/>
        <item x="84"/>
        <item x="75"/>
        <item x="61"/>
        <item x="66"/>
        <item x="54"/>
        <item x="80"/>
        <item x="39"/>
        <item x="29"/>
        <item x="23"/>
        <item x="16"/>
        <item x="55"/>
        <item x="81"/>
        <item x="44"/>
        <item x="40"/>
        <item x="34"/>
        <item x="30"/>
        <item x="24"/>
        <item x="17"/>
        <item x="45"/>
        <item x="41"/>
        <item x="35"/>
        <item x="31"/>
        <item x="18"/>
        <item x="56"/>
        <item x="46"/>
        <item t="default"/>
      </items>
    </pivotField>
    <pivotField axis="axisRow" showAll="0">
      <items count="5">
        <item x="3"/>
        <item x="1"/>
        <item x="0"/>
        <item x="2"/>
        <item t="default"/>
      </items>
    </pivotField>
    <pivotField showAll="0">
      <items count="7">
        <item x="0"/>
        <item x="2"/>
        <item x="3"/>
        <item x="1"/>
        <item x="5"/>
        <item x="4"/>
        <item t="default"/>
      </items>
    </pivotField>
    <pivotField showAll="0">
      <items count="7">
        <item x="3"/>
        <item x="5"/>
        <item x="4"/>
        <item x="2"/>
        <item x="1"/>
        <item x="0"/>
        <item t="default"/>
      </items>
    </pivotField>
    <pivotField showAll="0"/>
    <pivotField showAll="0"/>
    <pivotField showAll="0"/>
    <pivotField dataField="1"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5">
    <i>
      <x/>
    </i>
    <i>
      <x v="1"/>
    </i>
    <i>
      <x v="2"/>
    </i>
    <i>
      <x v="3"/>
    </i>
    <i t="grand">
      <x/>
    </i>
  </rowItems>
  <colFields count="1">
    <field x="-2"/>
  </colFields>
  <colItems count="2">
    <i>
      <x/>
    </i>
    <i i="1">
      <x v="1"/>
    </i>
  </colItems>
  <pageFields count="1">
    <pageField fld="0" hier="-1"/>
  </pageFields>
  <dataFields count="2">
    <dataField name="Sum of Sales" fld="7" baseField="0" baseItem="0"/>
    <dataField name="Sum of Profit" fld="8" baseField="0" baseItem="0"/>
  </dataFields>
  <formats count="2">
    <format dxfId="6">
      <pivotArea grandRow="1" outline="0" collapsedLevelsAreSubtotals="1" fieldPosition="0"/>
    </format>
    <format dxfId="5">
      <pivotArea outline="0" collapsedLevelsAreSubtotals="1" fieldPosition="0"/>
    </format>
  </formats>
  <chartFormats count="2">
    <chartFormat chart="6" format="916" series="1">
      <pivotArea type="data" outline="0" fieldPosition="0">
        <references count="1">
          <reference field="4294967294" count="1" selected="0">
            <x v="0"/>
          </reference>
        </references>
      </pivotArea>
    </chartFormat>
    <chartFormat chart="6" format="91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1C1665-2675-4C87-A722-F9D3A92F3394}"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78:F86" firstHeaderRow="1" firstDataRow="2" firstDataCol="1" rowPageCount="1" colPageCount="1"/>
  <pivotFields count="11">
    <pivotField numFmtId="22" showAll="0">
      <items count="86">
        <item x="47"/>
        <item x="72"/>
        <item x="67"/>
        <item x="57"/>
        <item x="62"/>
        <item x="70"/>
        <item x="50"/>
        <item x="25"/>
        <item x="19"/>
        <item x="12"/>
        <item x="73"/>
        <item x="68"/>
        <item x="58"/>
        <item x="63"/>
        <item x="51"/>
        <item x="76"/>
        <item x="42"/>
        <item x="36"/>
        <item x="26"/>
        <item x="20"/>
        <item x="13"/>
        <item x="10"/>
        <item x="9"/>
        <item x="7"/>
        <item x="4"/>
        <item x="0"/>
        <item x="1"/>
        <item x="82"/>
        <item x="74"/>
        <item x="69"/>
        <item x="59"/>
        <item x="64"/>
        <item x="77"/>
        <item x="71"/>
        <item x="52"/>
        <item x="78"/>
        <item x="37"/>
        <item x="32"/>
        <item x="27"/>
        <item x="14"/>
        <item x="48"/>
        <item x="83"/>
        <item x="60"/>
        <item x="65"/>
        <item x="53"/>
        <item x="79"/>
        <item x="43"/>
        <item x="38"/>
        <item x="33"/>
        <item x="28"/>
        <item x="21"/>
        <item x="11"/>
        <item x="8"/>
        <item x="6"/>
        <item x="5"/>
        <item x="3"/>
        <item x="2"/>
        <item x="22"/>
        <item x="15"/>
        <item x="49"/>
        <item x="84"/>
        <item x="75"/>
        <item x="61"/>
        <item x="66"/>
        <item x="54"/>
        <item x="80"/>
        <item x="39"/>
        <item x="29"/>
        <item x="23"/>
        <item x="16"/>
        <item x="55"/>
        <item x="81"/>
        <item x="44"/>
        <item x="40"/>
        <item x="34"/>
        <item x="30"/>
        <item x="24"/>
        <item x="17"/>
        <item x="45"/>
        <item x="41"/>
        <item x="35"/>
        <item x="31"/>
        <item x="18"/>
        <item x="56"/>
        <item x="46"/>
        <item t="default"/>
      </items>
    </pivotField>
    <pivotField axis="axisCol" showAll="0">
      <items count="5">
        <item x="3"/>
        <item x="1"/>
        <item x="0"/>
        <item x="2"/>
        <item t="default"/>
      </items>
    </pivotField>
    <pivotField axis="axisPage" showAll="0">
      <items count="7">
        <item x="0"/>
        <item x="2"/>
        <item x="3"/>
        <item x="1"/>
        <item x="5"/>
        <item x="4"/>
        <item t="default"/>
      </items>
    </pivotField>
    <pivotField axis="axisRow" showAll="0">
      <items count="7">
        <item x="3"/>
        <item x="5"/>
        <item x="4"/>
        <item x="2"/>
        <item x="1"/>
        <item x="0"/>
        <item t="default"/>
      </items>
    </pivotField>
    <pivotField showAll="0"/>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7">
    <i>
      <x/>
    </i>
    <i>
      <x v="1"/>
    </i>
    <i>
      <x v="2"/>
    </i>
    <i>
      <x v="3"/>
    </i>
    <i>
      <x v="4"/>
    </i>
    <i>
      <x v="5"/>
    </i>
    <i t="grand">
      <x/>
    </i>
  </rowItems>
  <colFields count="1">
    <field x="1"/>
  </colFields>
  <colItems count="5">
    <i>
      <x/>
    </i>
    <i>
      <x v="1"/>
    </i>
    <i>
      <x v="2"/>
    </i>
    <i>
      <x v="3"/>
    </i>
    <i t="grand">
      <x/>
    </i>
  </colItems>
  <pageFields count="1">
    <pageField fld="2" hier="-1"/>
  </pageFields>
  <dataFields count="1">
    <dataField name="Sum of Profit" fld="8" baseField="0" baseItem="0"/>
  </dataFields>
  <chartFormats count="4">
    <chartFormat chart="4" format="5" series="1">
      <pivotArea type="data" outline="0" fieldPosition="0">
        <references count="2">
          <reference field="4294967294" count="1" selected="0">
            <x v="0"/>
          </reference>
          <reference field="1" count="1" selected="0">
            <x v="0"/>
          </reference>
        </references>
      </pivotArea>
    </chartFormat>
    <chartFormat chart="4" format="6" series="1">
      <pivotArea type="data" outline="0" fieldPosition="0">
        <references count="2">
          <reference field="4294967294" count="1" selected="0">
            <x v="0"/>
          </reference>
          <reference field="1" count="1" selected="0">
            <x v="1"/>
          </reference>
        </references>
      </pivotArea>
    </chartFormat>
    <chartFormat chart="4" format="7" series="1">
      <pivotArea type="data" outline="0" fieldPosition="0">
        <references count="2">
          <reference field="4294967294" count="1" selected="0">
            <x v="0"/>
          </reference>
          <reference field="1" count="1" selected="0">
            <x v="2"/>
          </reference>
        </references>
      </pivotArea>
    </chartFormat>
    <chartFormat chart="4" format="8"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35D0E88-6078-4169-A38C-D94BEA59066C}"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location ref="A32:C39" firstHeaderRow="0" firstDataRow="1" firstDataCol="1"/>
  <pivotFields count="11">
    <pivotField numFmtId="22" showAll="0">
      <items count="86">
        <item x="47"/>
        <item x="72"/>
        <item x="67"/>
        <item x="57"/>
        <item x="62"/>
        <item x="70"/>
        <item x="50"/>
        <item x="25"/>
        <item x="19"/>
        <item x="12"/>
        <item x="73"/>
        <item x="68"/>
        <item x="58"/>
        <item x="63"/>
        <item x="51"/>
        <item x="76"/>
        <item x="42"/>
        <item x="36"/>
        <item x="26"/>
        <item x="20"/>
        <item x="13"/>
        <item x="10"/>
        <item x="9"/>
        <item x="7"/>
        <item x="4"/>
        <item x="0"/>
        <item x="1"/>
        <item x="82"/>
        <item x="74"/>
        <item x="69"/>
        <item x="59"/>
        <item x="64"/>
        <item x="77"/>
        <item x="71"/>
        <item x="52"/>
        <item x="78"/>
        <item x="37"/>
        <item x="32"/>
        <item x="27"/>
        <item x="14"/>
        <item x="48"/>
        <item x="83"/>
        <item x="60"/>
        <item x="65"/>
        <item x="53"/>
        <item x="79"/>
        <item x="43"/>
        <item x="38"/>
        <item x="33"/>
        <item x="28"/>
        <item x="21"/>
        <item x="11"/>
        <item x="8"/>
        <item x="6"/>
        <item x="5"/>
        <item x="3"/>
        <item x="2"/>
        <item x="22"/>
        <item x="15"/>
        <item x="49"/>
        <item x="84"/>
        <item x="75"/>
        <item x="61"/>
        <item x="66"/>
        <item x="54"/>
        <item x="80"/>
        <item x="39"/>
        <item x="29"/>
        <item x="23"/>
        <item x="16"/>
        <item x="55"/>
        <item x="81"/>
        <item x="44"/>
        <item x="40"/>
        <item x="34"/>
        <item x="30"/>
        <item x="24"/>
        <item x="17"/>
        <item x="45"/>
        <item x="41"/>
        <item x="35"/>
        <item x="31"/>
        <item x="18"/>
        <item x="56"/>
        <item x="46"/>
        <item t="default"/>
      </items>
    </pivotField>
    <pivotField showAll="0">
      <items count="5">
        <item x="3"/>
        <item x="1"/>
        <item x="0"/>
        <item x="2"/>
        <item t="default"/>
      </items>
    </pivotField>
    <pivotField showAll="0">
      <items count="7">
        <item x="0"/>
        <item x="2"/>
        <item x="3"/>
        <item x="1"/>
        <item x="5"/>
        <item x="4"/>
        <item t="default"/>
      </items>
    </pivotField>
    <pivotField showAll="0">
      <items count="7">
        <item x="3"/>
        <item x="5"/>
        <item x="4"/>
        <item x="2"/>
        <item x="1"/>
        <item x="0"/>
        <item t="default"/>
      </items>
    </pivotField>
    <pivotField showAll="0"/>
    <pivotField showAll="0"/>
    <pivotField showAll="0"/>
    <pivotField dataField="1" showAll="0"/>
    <pivotField dataField="1"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1">
    <field x="10"/>
  </rowFields>
  <rowItems count="7">
    <i>
      <x v="1"/>
    </i>
    <i>
      <x v="2"/>
    </i>
    <i>
      <x v="3"/>
    </i>
    <i>
      <x v="4"/>
    </i>
    <i>
      <x v="5"/>
    </i>
    <i>
      <x v="6"/>
    </i>
    <i t="grand">
      <x/>
    </i>
  </rowItems>
  <colFields count="1">
    <field x="-2"/>
  </colFields>
  <colItems count="2">
    <i>
      <x/>
    </i>
    <i i="1">
      <x v="1"/>
    </i>
  </colItems>
  <dataFields count="2">
    <dataField name="Sum of Sales" fld="7" baseField="0" baseItem="0"/>
    <dataField name="Sum of Profit" fld="8" baseField="0" baseItem="0"/>
  </dataFields>
  <formats count="3">
    <format dxfId="8">
      <pivotArea collapsedLevelsAreSubtotals="1" fieldPosition="0">
        <references count="2">
          <reference field="4294967294" count="1" selected="0">
            <x v="1"/>
          </reference>
          <reference field="10" count="1">
            <x v="5"/>
          </reference>
        </references>
      </pivotArea>
    </format>
    <format dxfId="7">
      <pivotArea collapsedLevelsAreSubtotals="1" fieldPosition="0">
        <references count="2">
          <reference field="4294967294" count="1" selected="0">
            <x v="1"/>
          </reference>
          <reference field="10" count="1">
            <x v="1"/>
          </reference>
        </references>
      </pivotArea>
    </format>
    <format dxfId="0">
      <pivotArea outline="0" collapsedLevelsAreSubtotals="1" fieldPosition="0"/>
    </format>
  </formats>
  <chartFormats count="8">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 chart="37" format="2" series="1">
      <pivotArea type="data" outline="0" fieldPosition="0">
        <references count="1">
          <reference field="4294967294" count="1" selected="0">
            <x v="0"/>
          </reference>
        </references>
      </pivotArea>
    </chartFormat>
    <chartFormat chart="37" format="3" series="1">
      <pivotArea type="data" outline="0" fieldPosition="0">
        <references count="1">
          <reference field="4294967294" count="1" selected="0">
            <x v="1"/>
          </reference>
        </references>
      </pivotArea>
    </chartFormat>
    <chartFormat chart="45" format="0" series="1">
      <pivotArea type="data" outline="0" fieldPosition="0">
        <references count="1">
          <reference field="4294967294" count="1" selected="0">
            <x v="0"/>
          </reference>
        </references>
      </pivotArea>
    </chartFormat>
    <chartFormat chart="45" format="1" series="1">
      <pivotArea type="data" outline="0" fieldPosition="0">
        <references count="1">
          <reference field="4294967294" count="1" selected="0">
            <x v="1"/>
          </reference>
        </references>
      </pivotArea>
    </chartFormat>
    <chartFormat chart="46" format="2" series="1">
      <pivotArea type="data" outline="0" fieldPosition="0">
        <references count="1">
          <reference field="4294967294" count="1" selected="0">
            <x v="0"/>
          </reference>
        </references>
      </pivotArea>
    </chartFormat>
    <chartFormat chart="46"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54F0050-4CD6-46D9-8C06-3D1DF58EB968}"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1:F29" firstHeaderRow="1" firstDataRow="2" firstDataCol="1"/>
  <pivotFields count="11">
    <pivotField numFmtId="22" showAll="0">
      <items count="86">
        <item x="47"/>
        <item x="72"/>
        <item x="67"/>
        <item x="57"/>
        <item x="62"/>
        <item x="70"/>
        <item x="50"/>
        <item x="25"/>
        <item x="19"/>
        <item x="12"/>
        <item x="73"/>
        <item x="68"/>
        <item x="58"/>
        <item x="63"/>
        <item x="51"/>
        <item x="76"/>
        <item x="42"/>
        <item x="36"/>
        <item x="26"/>
        <item x="20"/>
        <item x="13"/>
        <item x="10"/>
        <item x="9"/>
        <item x="7"/>
        <item x="4"/>
        <item x="0"/>
        <item x="1"/>
        <item x="82"/>
        <item x="74"/>
        <item x="69"/>
        <item x="59"/>
        <item x="64"/>
        <item x="77"/>
        <item x="71"/>
        <item x="52"/>
        <item x="78"/>
        <item x="37"/>
        <item x="32"/>
        <item x="27"/>
        <item x="14"/>
        <item x="48"/>
        <item x="83"/>
        <item x="60"/>
        <item x="65"/>
        <item x="53"/>
        <item x="79"/>
        <item x="43"/>
        <item x="38"/>
        <item x="33"/>
        <item x="28"/>
        <item x="21"/>
        <item x="11"/>
        <item x="8"/>
        <item x="6"/>
        <item x="5"/>
        <item x="3"/>
        <item x="2"/>
        <item x="22"/>
        <item x="15"/>
        <item x="49"/>
        <item x="84"/>
        <item x="75"/>
        <item x="61"/>
        <item x="66"/>
        <item x="54"/>
        <item x="80"/>
        <item x="39"/>
        <item x="29"/>
        <item x="23"/>
        <item x="16"/>
        <item x="55"/>
        <item x="81"/>
        <item x="44"/>
        <item x="40"/>
        <item x="34"/>
        <item x="30"/>
        <item x="24"/>
        <item x="17"/>
        <item x="45"/>
        <item x="41"/>
        <item x="35"/>
        <item x="31"/>
        <item x="18"/>
        <item x="56"/>
        <item x="46"/>
        <item t="default"/>
      </items>
    </pivotField>
    <pivotField axis="axisCol" showAll="0">
      <items count="5">
        <item x="3"/>
        <item x="1"/>
        <item x="0"/>
        <item x="2"/>
        <item t="default"/>
      </items>
    </pivotField>
    <pivotField showAll="0">
      <items count="7">
        <item x="0"/>
        <item x="2"/>
        <item x="3"/>
        <item x="1"/>
        <item x="5"/>
        <item x="4"/>
        <item t="default"/>
      </items>
    </pivotField>
    <pivotField axis="axisRow" showAll="0">
      <items count="7">
        <item x="3"/>
        <item x="5"/>
        <item x="4"/>
        <item x="2"/>
        <item x="1"/>
        <item x="0"/>
        <item t="default"/>
      </items>
    </pivotField>
    <pivotField showAll="0"/>
    <pivotField showAll="0"/>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7">
    <i>
      <x/>
    </i>
    <i>
      <x v="1"/>
    </i>
    <i>
      <x v="2"/>
    </i>
    <i>
      <x v="3"/>
    </i>
    <i>
      <x v="4"/>
    </i>
    <i>
      <x v="5"/>
    </i>
    <i t="grand">
      <x/>
    </i>
  </rowItems>
  <colFields count="1">
    <field x="1"/>
  </colFields>
  <colItems count="5">
    <i>
      <x/>
    </i>
    <i>
      <x v="1"/>
    </i>
    <i>
      <x v="2"/>
    </i>
    <i>
      <x v="3"/>
    </i>
    <i t="grand">
      <x/>
    </i>
  </colItems>
  <dataFields count="1">
    <dataField name="Sum of Sales" fld="7" baseField="0" baseItem="0" numFmtId="165"/>
  </dataFields>
  <formats count="1">
    <format dxfId="1">
      <pivotArea outline="0" collapsedLevelsAreSubtotals="1" fieldPosition="0"/>
    </format>
  </formats>
  <chartFormats count="4">
    <chartFormat chart="8" format="10" series="1">
      <pivotArea type="data" outline="0" fieldPosition="0">
        <references count="2">
          <reference field="4294967294" count="1" selected="0">
            <x v="0"/>
          </reference>
          <reference field="1" count="1" selected="0">
            <x v="0"/>
          </reference>
        </references>
      </pivotArea>
    </chartFormat>
    <chartFormat chart="8" format="11" series="1">
      <pivotArea type="data" outline="0" fieldPosition="0">
        <references count="2">
          <reference field="4294967294" count="1" selected="0">
            <x v="0"/>
          </reference>
          <reference field="1" count="1" selected="0">
            <x v="1"/>
          </reference>
        </references>
      </pivotArea>
    </chartFormat>
    <chartFormat chart="8" format="12" series="1">
      <pivotArea type="data" outline="0" fieldPosition="0">
        <references count="2">
          <reference field="4294967294" count="1" selected="0">
            <x v="0"/>
          </reference>
          <reference field="1" count="1" selected="0">
            <x v="2"/>
          </reference>
        </references>
      </pivotArea>
    </chartFormat>
    <chartFormat chart="8" format="13"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D72B35E-3402-4537-BAA7-155889D14461}" sourceName="Region">
  <pivotTables>
    <pivotTable tabId="2" name="PivotTable12"/>
    <pivotTable tabId="2" name="PivotTable11"/>
    <pivotTable tabId="2" name="PivotTable13"/>
    <pivotTable tabId="2" name="PivotTable14"/>
    <pivotTable tabId="2" name="PivotTable9"/>
  </pivotTables>
  <data>
    <tabular pivotCacheId="724773180">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7FF0F344-A4FA-4535-A3E0-0671E23EDD3F}" sourceName="Salesperson">
  <pivotTables>
    <pivotTable tabId="2" name="PivotTable12"/>
    <pivotTable tabId="2" name="PivotTable11"/>
    <pivotTable tabId="2" name="PivotTable13"/>
    <pivotTable tabId="2" name="PivotTable14"/>
    <pivotTable tabId="2" name="PivotTable9"/>
  </pivotTables>
  <data>
    <tabular pivotCacheId="724773180">
      <items count="6">
        <i x="0" s="1"/>
        <i x="2" s="1"/>
        <i x="3" s="1"/>
        <i x="1" s="1"/>
        <i x="5"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5501C3B2-D5DE-4D1A-A05E-30AD3163CAB3}" sourceName="Product">
  <pivotTables>
    <pivotTable tabId="2" name="PivotTable12"/>
    <pivotTable tabId="2" name="PivotTable11"/>
    <pivotTable tabId="2" name="PivotTable13"/>
    <pivotTable tabId="2" name="PivotTable14"/>
    <pivotTable tabId="2" name="PivotTable9"/>
  </pivotTables>
  <data>
    <tabular pivotCacheId="724773180">
      <items count="6">
        <i x="3" s="1"/>
        <i x="5" s="1"/>
        <i x="4"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CAD19391-0BBD-4951-8C06-0C15D927E60F}" cache="Slicer_Region" caption="Region" style="SlicerStyleDark4" rowHeight="249238"/>
  <slicer name="Salesperson 1" xr10:uid="{99BA08A2-4B53-4BC4-A540-D331839C1733}" cache="Slicer_Salesperson" caption="Salesperson" style="SlicerStyleDark4" rowHeight="249238"/>
  <slicer name="Product 1" xr10:uid="{F190E540-D89B-4539-9746-1737A5DE0682}" cache="Slicer_Product" caption="Product" style="SlicerStyleDark4" rowHeight="249238"/>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FE0978B3-EF62-45FE-B923-0BBAB5050634}" sourceName="Date">
  <pivotTables>
    <pivotTable tabId="2" name="PivotTable9"/>
  </pivotTables>
  <state minimalRefreshVersion="6" lastRefreshVersion="6" pivotCacheId="724773180"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207BFD16-67DE-4204-904D-02C6426F99CE}" cache="NativeTimeline_Date" caption="Date" level="2" selectionLevel="2" scrollPosition="2025-05-18T00:00:00" style="TimeSlicerStyleDark4"/>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06521-876E-4B7D-803A-0CA14EF3D3BB}">
  <dimension ref="A1:F86"/>
  <sheetViews>
    <sheetView topLeftCell="A3" zoomScale="75" zoomScaleNormal="75" workbookViewId="0">
      <selection activeCell="D38" sqref="D38"/>
    </sheetView>
  </sheetViews>
  <sheetFormatPr defaultRowHeight="14.25" x14ac:dyDescent="0.45"/>
  <cols>
    <col min="1" max="1" width="12.86328125" bestFit="1" customWidth="1"/>
    <col min="2" max="2" width="14.3984375" bestFit="1" customWidth="1"/>
    <col min="3" max="3" width="13.3984375" bestFit="1" customWidth="1"/>
    <col min="4" max="4" width="11.73046875" customWidth="1"/>
    <col min="5" max="5" width="10.9296875" customWidth="1"/>
    <col min="6" max="6" width="13.6640625" customWidth="1"/>
    <col min="7" max="14" width="13" bestFit="1" customWidth="1"/>
    <col min="15" max="19" width="11.9296875" bestFit="1" customWidth="1"/>
    <col min="20" max="31" width="13" bestFit="1" customWidth="1"/>
    <col min="32" max="36" width="11.9296875" bestFit="1" customWidth="1"/>
    <col min="37" max="46" width="13" bestFit="1" customWidth="1"/>
    <col min="47" max="50" width="11.9296875" bestFit="1" customWidth="1"/>
    <col min="51" max="59" width="13" bestFit="1" customWidth="1"/>
    <col min="60" max="63" width="11.9296875" bestFit="1" customWidth="1"/>
    <col min="64" max="73" width="13" bestFit="1" customWidth="1"/>
    <col min="74" max="77" width="11.9296875" bestFit="1" customWidth="1"/>
    <col min="78" max="86" width="13" bestFit="1" customWidth="1"/>
    <col min="87" max="87" width="9.86328125" bestFit="1" customWidth="1"/>
    <col min="88" max="91" width="11.9296875" bestFit="1" customWidth="1"/>
    <col min="92" max="99" width="13" bestFit="1" customWidth="1"/>
    <col min="100" max="104" width="11.9296875" bestFit="1" customWidth="1"/>
    <col min="105" max="116" width="13" bestFit="1" customWidth="1"/>
    <col min="117" max="121" width="11.9296875" bestFit="1" customWidth="1"/>
    <col min="122" max="131" width="13" bestFit="1" customWidth="1"/>
    <col min="132" max="135" width="11.9296875" bestFit="1" customWidth="1"/>
    <col min="136" max="144" width="13" bestFit="1" customWidth="1"/>
    <col min="145" max="148" width="11.9296875" bestFit="1" customWidth="1"/>
    <col min="149" max="158" width="13" bestFit="1" customWidth="1"/>
    <col min="159" max="162" width="11.9296875" bestFit="1" customWidth="1"/>
    <col min="163" max="171" width="13" bestFit="1" customWidth="1"/>
    <col min="172" max="173" width="15.33203125" bestFit="1" customWidth="1"/>
  </cols>
  <sheetData>
    <row r="1" spans="1:3" x14ac:dyDescent="0.45">
      <c r="A1" s="3" t="s">
        <v>0</v>
      </c>
      <c r="B1" t="s">
        <v>36</v>
      </c>
    </row>
    <row r="3" spans="1:3" x14ac:dyDescent="0.45">
      <c r="A3" s="3" t="s">
        <v>23</v>
      </c>
      <c r="B3" t="s">
        <v>27</v>
      </c>
      <c r="C3" t="s">
        <v>28</v>
      </c>
    </row>
    <row r="4" spans="1:3" x14ac:dyDescent="0.45">
      <c r="A4" s="4" t="s">
        <v>20</v>
      </c>
      <c r="B4" s="9">
        <v>28850000</v>
      </c>
      <c r="C4" s="9">
        <v>28765605</v>
      </c>
    </row>
    <row r="5" spans="1:3" x14ac:dyDescent="0.45">
      <c r="A5" s="4" t="s">
        <v>10</v>
      </c>
      <c r="B5" s="9">
        <v>26320000</v>
      </c>
      <c r="C5" s="9">
        <v>26212554</v>
      </c>
    </row>
    <row r="6" spans="1:3" x14ac:dyDescent="0.45">
      <c r="A6" s="4" t="s">
        <v>7</v>
      </c>
      <c r="B6" s="9">
        <v>22220000</v>
      </c>
      <c r="C6" s="9">
        <v>22145162</v>
      </c>
    </row>
    <row r="7" spans="1:3" x14ac:dyDescent="0.45">
      <c r="A7" s="4" t="s">
        <v>13</v>
      </c>
      <c r="B7" s="9">
        <v>22835000</v>
      </c>
      <c r="C7" s="9">
        <v>22705432</v>
      </c>
    </row>
    <row r="8" spans="1:3" x14ac:dyDescent="0.45">
      <c r="A8" s="4" t="s">
        <v>24</v>
      </c>
      <c r="B8" s="9">
        <v>100225000</v>
      </c>
      <c r="C8" s="9">
        <v>99828753</v>
      </c>
    </row>
    <row r="11" spans="1:3" x14ac:dyDescent="0.45">
      <c r="A11" s="3" t="s">
        <v>23</v>
      </c>
      <c r="B11" s="9" t="s">
        <v>28</v>
      </c>
      <c r="C11" s="9"/>
    </row>
    <row r="12" spans="1:3" x14ac:dyDescent="0.45">
      <c r="A12" s="4" t="s">
        <v>8</v>
      </c>
      <c r="B12" s="9">
        <v>10585193</v>
      </c>
      <c r="C12" s="9"/>
    </row>
    <row r="13" spans="1:3" x14ac:dyDescent="0.45">
      <c r="A13" s="4" t="s">
        <v>14</v>
      </c>
      <c r="B13" s="9">
        <v>15696626</v>
      </c>
      <c r="C13" s="9"/>
    </row>
    <row r="14" spans="1:3" x14ac:dyDescent="0.45">
      <c r="A14" s="4" t="s">
        <v>17</v>
      </c>
      <c r="B14" s="9">
        <v>17340349</v>
      </c>
      <c r="C14" s="9"/>
    </row>
    <row r="15" spans="1:3" x14ac:dyDescent="0.45">
      <c r="A15" s="4" t="s">
        <v>11</v>
      </c>
      <c r="B15" s="9">
        <v>21246209</v>
      </c>
      <c r="C15" s="9"/>
    </row>
    <row r="16" spans="1:3" x14ac:dyDescent="0.45">
      <c r="A16" s="4" t="s">
        <v>21</v>
      </c>
      <c r="B16" s="9">
        <v>13648860</v>
      </c>
    </row>
    <row r="17" spans="1:6" x14ac:dyDescent="0.45">
      <c r="A17" s="4" t="s">
        <v>18</v>
      </c>
      <c r="B17" s="9">
        <v>21311516</v>
      </c>
    </row>
    <row r="18" spans="1:6" x14ac:dyDescent="0.45">
      <c r="A18" s="4" t="s">
        <v>24</v>
      </c>
      <c r="B18" s="9">
        <v>99828753</v>
      </c>
    </row>
    <row r="21" spans="1:6" x14ac:dyDescent="0.45">
      <c r="A21" s="3" t="s">
        <v>27</v>
      </c>
      <c r="B21" s="3" t="s">
        <v>29</v>
      </c>
    </row>
    <row r="22" spans="1:6" x14ac:dyDescent="0.45">
      <c r="A22" s="3" t="s">
        <v>23</v>
      </c>
      <c r="B22" t="s">
        <v>20</v>
      </c>
      <c r="C22" t="s">
        <v>10</v>
      </c>
      <c r="D22" t="s">
        <v>7</v>
      </c>
      <c r="E22" t="s">
        <v>13</v>
      </c>
      <c r="F22" t="s">
        <v>24</v>
      </c>
    </row>
    <row r="23" spans="1:6" x14ac:dyDescent="0.45">
      <c r="A23" s="4" t="s">
        <v>16</v>
      </c>
      <c r="B23" s="9">
        <v>7280000</v>
      </c>
      <c r="C23" s="9">
        <v>1355000</v>
      </c>
      <c r="D23" s="9">
        <v>9290000</v>
      </c>
      <c r="E23" s="9">
        <v>1555000</v>
      </c>
      <c r="F23" s="9">
        <v>19480000</v>
      </c>
    </row>
    <row r="24" spans="1:6" x14ac:dyDescent="0.45">
      <c r="A24" s="4" t="s">
        <v>22</v>
      </c>
      <c r="B24" s="9">
        <v>85000</v>
      </c>
      <c r="C24" s="9">
        <v>6765000</v>
      </c>
      <c r="D24" s="9">
        <v>4330000</v>
      </c>
      <c r="E24" s="9">
        <v>1360000</v>
      </c>
      <c r="F24" s="9">
        <v>12540000</v>
      </c>
    </row>
    <row r="25" spans="1:6" x14ac:dyDescent="0.45">
      <c r="A25" s="4" t="s">
        <v>19</v>
      </c>
      <c r="B25" s="9">
        <v>4155000</v>
      </c>
      <c r="C25" s="9">
        <v>6200000</v>
      </c>
      <c r="D25" s="9">
        <v>340000</v>
      </c>
      <c r="E25" s="9">
        <v>4080000</v>
      </c>
      <c r="F25" s="9">
        <v>14775000</v>
      </c>
    </row>
    <row r="26" spans="1:6" x14ac:dyDescent="0.45">
      <c r="A26" s="4" t="s">
        <v>15</v>
      </c>
      <c r="B26" s="9">
        <v>4995000</v>
      </c>
      <c r="C26" s="9">
        <v>1510000</v>
      </c>
      <c r="D26" s="9">
        <v>3365000</v>
      </c>
      <c r="E26" s="9">
        <v>3750000</v>
      </c>
      <c r="F26" s="9">
        <v>13620000</v>
      </c>
    </row>
    <row r="27" spans="1:6" x14ac:dyDescent="0.45">
      <c r="A27" s="4" t="s">
        <v>12</v>
      </c>
      <c r="B27" s="9">
        <v>2815000</v>
      </c>
      <c r="C27" s="9">
        <v>10020000</v>
      </c>
      <c r="D27" s="9">
        <v>140000</v>
      </c>
      <c r="E27" s="9">
        <v>8680000</v>
      </c>
      <c r="F27" s="9">
        <v>21655000</v>
      </c>
    </row>
    <row r="28" spans="1:6" x14ac:dyDescent="0.45">
      <c r="A28" s="4" t="s">
        <v>9</v>
      </c>
      <c r="B28" s="9">
        <v>9520000</v>
      </c>
      <c r="C28" s="9">
        <v>470000</v>
      </c>
      <c r="D28" s="9">
        <v>4755000</v>
      </c>
      <c r="E28" s="9">
        <v>3410000</v>
      </c>
      <c r="F28" s="9">
        <v>18155000</v>
      </c>
    </row>
    <row r="29" spans="1:6" x14ac:dyDescent="0.45">
      <c r="A29" s="4" t="s">
        <v>24</v>
      </c>
      <c r="B29" s="9">
        <v>28850000</v>
      </c>
      <c r="C29" s="9">
        <v>26320000</v>
      </c>
      <c r="D29" s="9">
        <v>22220000</v>
      </c>
      <c r="E29" s="9">
        <v>22835000</v>
      </c>
      <c r="F29" s="9">
        <v>100225000</v>
      </c>
    </row>
    <row r="32" spans="1:6" x14ac:dyDescent="0.45">
      <c r="A32" s="3" t="s">
        <v>23</v>
      </c>
      <c r="B32" t="s">
        <v>27</v>
      </c>
      <c r="C32" t="s">
        <v>28</v>
      </c>
    </row>
    <row r="33" spans="1:3" x14ac:dyDescent="0.45">
      <c r="A33" s="4" t="s">
        <v>30</v>
      </c>
      <c r="B33" s="9">
        <v>27950000</v>
      </c>
      <c r="C33" s="9">
        <v>27871887</v>
      </c>
    </row>
    <row r="34" spans="1:3" x14ac:dyDescent="0.45">
      <c r="A34" s="4" t="s">
        <v>31</v>
      </c>
      <c r="B34" s="9">
        <v>29270000</v>
      </c>
      <c r="C34" s="9">
        <v>29161085</v>
      </c>
    </row>
    <row r="35" spans="1:3" x14ac:dyDescent="0.45">
      <c r="A35" s="4" t="s">
        <v>32</v>
      </c>
      <c r="B35" s="9">
        <v>17985000</v>
      </c>
      <c r="C35" s="9">
        <v>17924187</v>
      </c>
    </row>
    <row r="36" spans="1:3" x14ac:dyDescent="0.45">
      <c r="A36" s="4" t="s">
        <v>33</v>
      </c>
      <c r="B36" s="9">
        <v>10235000</v>
      </c>
      <c r="C36" s="9">
        <v>10169482</v>
      </c>
    </row>
    <row r="37" spans="1:3" x14ac:dyDescent="0.45">
      <c r="A37" s="4" t="s">
        <v>34</v>
      </c>
      <c r="B37" s="9">
        <v>8920000</v>
      </c>
      <c r="C37" s="9">
        <v>8862605</v>
      </c>
    </row>
    <row r="38" spans="1:3" x14ac:dyDescent="0.45">
      <c r="A38" s="4" t="s">
        <v>35</v>
      </c>
      <c r="B38" s="9">
        <v>5865000</v>
      </c>
      <c r="C38" s="9">
        <v>5839507</v>
      </c>
    </row>
    <row r="39" spans="1:3" x14ac:dyDescent="0.45">
      <c r="A39" s="4" t="s">
        <v>24</v>
      </c>
      <c r="B39" s="9">
        <v>100225000</v>
      </c>
      <c r="C39" s="9">
        <v>99828753</v>
      </c>
    </row>
    <row r="76" spans="1:6" x14ac:dyDescent="0.45">
      <c r="A76" s="3" t="s">
        <v>2</v>
      </c>
      <c r="B76" t="s">
        <v>36</v>
      </c>
    </row>
    <row r="78" spans="1:6" x14ac:dyDescent="0.45">
      <c r="A78" s="3" t="s">
        <v>28</v>
      </c>
      <c r="B78" s="3" t="s">
        <v>29</v>
      </c>
    </row>
    <row r="79" spans="1:6" x14ac:dyDescent="0.45">
      <c r="A79" s="3" t="s">
        <v>23</v>
      </c>
      <c r="B79" t="s">
        <v>20</v>
      </c>
      <c r="C79" t="s">
        <v>10</v>
      </c>
      <c r="D79" t="s">
        <v>7</v>
      </c>
      <c r="E79" t="s">
        <v>13</v>
      </c>
      <c r="F79" t="s">
        <v>24</v>
      </c>
    </row>
    <row r="80" spans="1:6" x14ac:dyDescent="0.45">
      <c r="A80" s="4" t="s">
        <v>16</v>
      </c>
      <c r="B80">
        <v>7267470</v>
      </c>
      <c r="C80">
        <v>1341923</v>
      </c>
      <c r="D80">
        <v>9283850</v>
      </c>
      <c r="E80">
        <v>1537407</v>
      </c>
      <c r="F80">
        <v>19430650</v>
      </c>
    </row>
    <row r="81" spans="1:6" x14ac:dyDescent="0.45">
      <c r="A81" s="4" t="s">
        <v>22</v>
      </c>
      <c r="B81">
        <v>83718</v>
      </c>
      <c r="C81">
        <v>6748104</v>
      </c>
      <c r="D81">
        <v>4324700</v>
      </c>
      <c r="E81">
        <v>1333051</v>
      </c>
      <c r="F81">
        <v>12489573</v>
      </c>
    </row>
    <row r="82" spans="1:6" x14ac:dyDescent="0.45">
      <c r="A82" s="4" t="s">
        <v>19</v>
      </c>
      <c r="B82">
        <v>4144486</v>
      </c>
      <c r="C82">
        <v>6177789</v>
      </c>
      <c r="D82">
        <v>330636</v>
      </c>
      <c r="E82">
        <v>4073218</v>
      </c>
      <c r="F82">
        <v>14726129</v>
      </c>
    </row>
    <row r="83" spans="1:6" x14ac:dyDescent="0.45">
      <c r="A83" s="4" t="s">
        <v>15</v>
      </c>
      <c r="B83">
        <v>4959673</v>
      </c>
      <c r="C83">
        <v>1494274</v>
      </c>
      <c r="D83">
        <v>3353468</v>
      </c>
      <c r="E83">
        <v>3692138</v>
      </c>
      <c r="F83">
        <v>13499553</v>
      </c>
    </row>
    <row r="84" spans="1:6" x14ac:dyDescent="0.45">
      <c r="A84" s="4" t="s">
        <v>12</v>
      </c>
      <c r="B84">
        <v>2800837</v>
      </c>
      <c r="C84">
        <v>9991611</v>
      </c>
      <c r="D84">
        <v>131469</v>
      </c>
      <c r="E84">
        <v>8668200</v>
      </c>
      <c r="F84">
        <v>21592117</v>
      </c>
    </row>
    <row r="85" spans="1:6" x14ac:dyDescent="0.45">
      <c r="A85" s="4" t="s">
        <v>9</v>
      </c>
      <c r="B85">
        <v>9509421</v>
      </c>
      <c r="C85">
        <v>458853</v>
      </c>
      <c r="D85">
        <v>4721039</v>
      </c>
      <c r="E85">
        <v>3401418</v>
      </c>
      <c r="F85">
        <v>18090731</v>
      </c>
    </row>
    <row r="86" spans="1:6" x14ac:dyDescent="0.45">
      <c r="A86" s="4" t="s">
        <v>24</v>
      </c>
      <c r="B86">
        <v>28765605</v>
      </c>
      <c r="C86">
        <v>26212554</v>
      </c>
      <c r="D86">
        <v>22145162</v>
      </c>
      <c r="E86">
        <v>22705432</v>
      </c>
      <c r="F86">
        <v>99828753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E56B4-DC5F-49D6-876F-878C0F5792FC}">
  <dimension ref="A1:Y110"/>
  <sheetViews>
    <sheetView showGridLines="0" tabSelected="1" zoomScale="59" zoomScaleNormal="59" workbookViewId="0">
      <selection activeCell="X31" sqref="X31"/>
    </sheetView>
  </sheetViews>
  <sheetFormatPr defaultRowHeight="14.25" x14ac:dyDescent="0.45"/>
  <cols>
    <col min="1" max="1" width="4.1328125" customWidth="1"/>
    <col min="2" max="2" width="16.19921875" customWidth="1"/>
    <col min="3" max="6" width="24.796875" bestFit="1" customWidth="1"/>
    <col min="7" max="7" width="26.9296875" bestFit="1" customWidth="1"/>
  </cols>
  <sheetData>
    <row r="1" spans="1:25" x14ac:dyDescent="0.45">
      <c r="A1" s="10"/>
      <c r="B1" s="10"/>
      <c r="C1" s="10"/>
      <c r="D1" s="10"/>
      <c r="E1" s="10"/>
      <c r="F1" s="10"/>
      <c r="G1" s="10"/>
      <c r="H1" s="10"/>
      <c r="I1" s="10"/>
      <c r="J1" s="10"/>
      <c r="K1" s="10"/>
      <c r="L1" s="10"/>
      <c r="M1" s="10"/>
      <c r="N1" s="10"/>
      <c r="O1" s="10"/>
      <c r="P1" s="10"/>
      <c r="Q1" s="10"/>
      <c r="R1" s="10"/>
      <c r="S1" s="10"/>
      <c r="T1" s="10"/>
      <c r="U1" s="10"/>
      <c r="V1" s="10"/>
      <c r="W1" s="10"/>
      <c r="X1" s="10"/>
      <c r="Y1" s="10"/>
    </row>
    <row r="2" spans="1:25" x14ac:dyDescent="0.45">
      <c r="A2" s="10"/>
      <c r="B2" s="10"/>
      <c r="C2" s="10"/>
      <c r="D2" s="10"/>
      <c r="E2" s="10"/>
      <c r="F2" s="10"/>
      <c r="G2" s="10"/>
      <c r="H2" s="10"/>
      <c r="I2" s="10"/>
      <c r="J2" s="10"/>
      <c r="K2" s="10"/>
      <c r="L2" s="10"/>
      <c r="M2" s="10"/>
      <c r="N2" s="10"/>
      <c r="O2" s="10"/>
      <c r="P2" s="10"/>
      <c r="Q2" s="10"/>
      <c r="R2" s="10"/>
      <c r="S2" s="10"/>
      <c r="T2" s="10"/>
      <c r="U2" s="10"/>
      <c r="V2" s="10"/>
      <c r="W2" s="10"/>
      <c r="X2" s="10"/>
      <c r="Y2" s="10"/>
    </row>
    <row r="3" spans="1:25" x14ac:dyDescent="0.45">
      <c r="A3" s="10"/>
      <c r="B3" s="10"/>
      <c r="C3" s="10"/>
      <c r="D3" s="10"/>
      <c r="E3" s="10"/>
      <c r="F3" s="10"/>
      <c r="G3" s="10"/>
      <c r="H3" s="10"/>
      <c r="I3" s="10"/>
      <c r="J3" s="10"/>
      <c r="K3" s="10"/>
      <c r="L3" s="10"/>
      <c r="M3" s="10"/>
      <c r="N3" s="10"/>
      <c r="O3" s="10"/>
      <c r="P3" s="10"/>
      <c r="Q3" s="10"/>
      <c r="R3" s="10"/>
      <c r="S3" s="10"/>
      <c r="T3" s="10"/>
      <c r="U3" s="10"/>
      <c r="V3" s="10"/>
      <c r="W3" s="10"/>
      <c r="X3" s="10"/>
      <c r="Y3" s="10"/>
    </row>
    <row r="4" spans="1:25" x14ac:dyDescent="0.45">
      <c r="A4" s="10"/>
      <c r="B4" s="10"/>
      <c r="C4" s="10"/>
      <c r="D4" s="10"/>
      <c r="E4" s="10"/>
      <c r="F4" s="10"/>
      <c r="G4" s="10"/>
      <c r="H4" s="10"/>
      <c r="I4" s="10"/>
      <c r="J4" s="10"/>
      <c r="K4" s="10"/>
      <c r="L4" s="10"/>
      <c r="M4" s="10"/>
      <c r="N4" s="10"/>
      <c r="O4" s="10"/>
      <c r="P4" s="10"/>
      <c r="Q4" s="10"/>
      <c r="R4" s="10"/>
      <c r="S4" s="10"/>
      <c r="T4" s="10"/>
      <c r="U4" s="10"/>
      <c r="V4" s="10"/>
      <c r="W4" s="10"/>
      <c r="X4" s="10"/>
      <c r="Y4" s="10"/>
    </row>
    <row r="5" spans="1:25" x14ac:dyDescent="0.45">
      <c r="A5" s="10"/>
      <c r="B5" s="10"/>
      <c r="C5" s="10"/>
      <c r="D5" s="10"/>
      <c r="E5" s="10"/>
      <c r="F5" s="10"/>
      <c r="G5" s="10"/>
      <c r="H5" s="10"/>
      <c r="I5" s="10"/>
      <c r="J5" s="10"/>
      <c r="K5" s="10"/>
      <c r="L5" s="10"/>
      <c r="M5" s="10"/>
      <c r="N5" s="10"/>
      <c r="O5" s="10"/>
      <c r="P5" s="10"/>
      <c r="Q5" s="10"/>
      <c r="R5" s="10"/>
      <c r="S5" s="10"/>
      <c r="T5" s="10"/>
      <c r="U5" s="10"/>
      <c r="V5" s="10"/>
      <c r="W5" s="10"/>
      <c r="X5" s="10"/>
      <c r="Y5" s="10"/>
    </row>
    <row r="6" spans="1:25" x14ac:dyDescent="0.45">
      <c r="A6" s="10"/>
      <c r="B6" s="10"/>
      <c r="C6" s="10"/>
      <c r="D6" s="10"/>
      <c r="E6" s="10"/>
      <c r="F6" s="10"/>
      <c r="G6" s="10"/>
      <c r="H6" s="10"/>
      <c r="I6" s="10"/>
      <c r="J6" s="10"/>
      <c r="K6" s="10"/>
      <c r="L6" s="10"/>
      <c r="M6" s="10"/>
      <c r="N6" s="10"/>
      <c r="O6" s="10"/>
      <c r="P6" s="10"/>
      <c r="Q6" s="10"/>
      <c r="R6" s="10"/>
      <c r="S6" s="10"/>
      <c r="T6" s="10"/>
      <c r="U6" s="10"/>
      <c r="V6" s="10"/>
      <c r="W6" s="10"/>
      <c r="X6" s="10"/>
      <c r="Y6" s="10"/>
    </row>
    <row r="7" spans="1:25" x14ac:dyDescent="0.45">
      <c r="A7" s="10"/>
      <c r="B7" s="10"/>
      <c r="C7" s="10"/>
      <c r="D7" s="10"/>
      <c r="E7" s="10"/>
      <c r="F7" s="10"/>
      <c r="G7" s="10"/>
      <c r="H7" s="10"/>
      <c r="I7" s="10"/>
      <c r="J7" s="10"/>
      <c r="K7" s="10"/>
      <c r="L7" s="10"/>
      <c r="M7" s="10"/>
      <c r="N7" s="10"/>
      <c r="O7" s="10"/>
      <c r="P7" s="10"/>
      <c r="Q7" s="10"/>
      <c r="R7" s="10"/>
      <c r="S7" s="10"/>
      <c r="T7" s="10"/>
      <c r="U7" s="10"/>
      <c r="V7" s="10"/>
      <c r="W7" s="10"/>
      <c r="X7" s="10"/>
      <c r="Y7" s="10"/>
    </row>
    <row r="8" spans="1:25" x14ac:dyDescent="0.45">
      <c r="A8" s="10"/>
      <c r="B8" s="10"/>
      <c r="C8" s="10"/>
      <c r="D8" s="10"/>
      <c r="E8" s="10"/>
      <c r="F8" s="10"/>
      <c r="G8" s="10"/>
      <c r="H8" s="10"/>
      <c r="I8" s="10"/>
      <c r="J8" s="10"/>
      <c r="K8" s="10"/>
      <c r="L8" s="10"/>
      <c r="M8" s="10"/>
      <c r="N8" s="10"/>
      <c r="O8" s="10"/>
      <c r="P8" s="10"/>
      <c r="Q8" s="10"/>
      <c r="R8" s="10"/>
      <c r="S8" s="10"/>
      <c r="T8" s="10"/>
      <c r="U8" s="10"/>
      <c r="V8" s="10"/>
      <c r="W8" s="10"/>
      <c r="X8" s="10"/>
      <c r="Y8" s="10"/>
    </row>
    <row r="9" spans="1:25" x14ac:dyDescent="0.45">
      <c r="A9" s="10"/>
      <c r="B9" s="10"/>
      <c r="C9" s="10"/>
      <c r="D9" s="10"/>
      <c r="E9" s="10"/>
      <c r="F9" s="10"/>
      <c r="G9" s="10"/>
      <c r="H9" s="10"/>
      <c r="I9" s="10"/>
      <c r="J9" s="10"/>
      <c r="K9" s="10"/>
      <c r="L9" s="10"/>
      <c r="M9" s="10"/>
      <c r="N9" s="10"/>
      <c r="O9" s="10"/>
      <c r="P9" s="10"/>
      <c r="Q9" s="10"/>
      <c r="R9" s="10"/>
      <c r="S9" s="10"/>
      <c r="T9" s="10"/>
      <c r="U9" s="10"/>
      <c r="V9" s="10"/>
      <c r="W9" s="10"/>
      <c r="X9" s="10"/>
      <c r="Y9" s="10"/>
    </row>
    <row r="10" spans="1:25" x14ac:dyDescent="0.45">
      <c r="A10" s="10"/>
      <c r="B10" s="10"/>
      <c r="C10" s="10"/>
      <c r="D10" s="10"/>
      <c r="E10" s="10"/>
      <c r="F10" s="10"/>
      <c r="G10" s="10"/>
      <c r="H10" s="10"/>
      <c r="I10" s="10"/>
      <c r="J10" s="10"/>
      <c r="K10" s="10"/>
      <c r="L10" s="10"/>
      <c r="M10" s="10"/>
      <c r="N10" s="10"/>
      <c r="O10" s="10"/>
      <c r="P10" s="10"/>
      <c r="Q10" s="10"/>
      <c r="R10" s="10"/>
      <c r="S10" s="10"/>
      <c r="T10" s="10"/>
      <c r="U10" s="10"/>
      <c r="V10" s="10"/>
      <c r="W10" s="10"/>
      <c r="X10" s="10"/>
      <c r="Y10" s="10"/>
    </row>
    <row r="11" spans="1:25" x14ac:dyDescent="0.45">
      <c r="A11" s="10"/>
      <c r="B11" s="10"/>
      <c r="C11" s="10"/>
      <c r="D11" s="10"/>
      <c r="E11" s="10"/>
      <c r="F11" s="10"/>
      <c r="G11" s="10"/>
      <c r="H11" s="10"/>
      <c r="I11" s="10"/>
      <c r="J11" s="10"/>
      <c r="K11" s="10"/>
      <c r="L11" s="10"/>
      <c r="M11" s="10"/>
      <c r="N11" s="10"/>
      <c r="O11" s="10"/>
      <c r="P11" s="10"/>
      <c r="Q11" s="10"/>
      <c r="R11" s="10"/>
      <c r="S11" s="10"/>
      <c r="T11" s="10"/>
      <c r="U11" s="10"/>
      <c r="V11" s="10"/>
      <c r="W11" s="10"/>
      <c r="X11" s="10"/>
      <c r="Y11" s="10"/>
    </row>
    <row r="12" spans="1:25" x14ac:dyDescent="0.45">
      <c r="A12" s="10"/>
      <c r="B12" s="10"/>
      <c r="C12" s="10"/>
      <c r="D12" s="10"/>
      <c r="E12" s="10"/>
      <c r="F12" s="10"/>
      <c r="G12" s="10"/>
      <c r="H12" s="10"/>
      <c r="I12" s="10"/>
      <c r="J12" s="10"/>
      <c r="K12" s="10"/>
      <c r="L12" s="10"/>
      <c r="M12" s="10"/>
      <c r="N12" s="10"/>
      <c r="O12" s="10"/>
      <c r="P12" s="10"/>
      <c r="Q12" s="10"/>
      <c r="R12" s="10"/>
      <c r="S12" s="10"/>
      <c r="T12" s="10"/>
      <c r="U12" s="10"/>
      <c r="V12" s="10"/>
      <c r="W12" s="10"/>
      <c r="X12" s="10"/>
      <c r="Y12" s="10"/>
    </row>
    <row r="13" spans="1:25" x14ac:dyDescent="0.45">
      <c r="A13" s="10"/>
      <c r="B13" s="10"/>
      <c r="C13" s="10"/>
      <c r="D13" s="10"/>
      <c r="E13" s="10"/>
      <c r="F13" s="10"/>
      <c r="G13" s="10"/>
      <c r="H13" s="10"/>
      <c r="I13" s="10"/>
      <c r="J13" s="10"/>
      <c r="K13" s="10"/>
      <c r="L13" s="10"/>
      <c r="M13" s="10"/>
      <c r="N13" s="10"/>
      <c r="O13" s="10"/>
      <c r="P13" s="10"/>
      <c r="Q13" s="10"/>
      <c r="R13" s="10"/>
      <c r="S13" s="10"/>
      <c r="T13" s="10"/>
      <c r="U13" s="10"/>
      <c r="V13" s="10"/>
      <c r="W13" s="10"/>
      <c r="X13" s="10"/>
      <c r="Y13" s="10"/>
    </row>
    <row r="14" spans="1:25" x14ac:dyDescent="0.45">
      <c r="A14" s="10"/>
      <c r="B14" s="10"/>
      <c r="C14" s="10"/>
      <c r="D14" s="10"/>
      <c r="E14" s="10"/>
      <c r="F14" s="10"/>
      <c r="G14" s="10"/>
      <c r="H14" s="10"/>
      <c r="I14" s="10"/>
      <c r="J14" s="10"/>
      <c r="K14" s="10"/>
      <c r="L14" s="10"/>
      <c r="M14" s="10"/>
      <c r="N14" s="10"/>
      <c r="O14" s="10"/>
      <c r="P14" s="10"/>
      <c r="Q14" s="10"/>
      <c r="R14" s="10"/>
      <c r="S14" s="10"/>
      <c r="T14" s="10"/>
      <c r="U14" s="10"/>
      <c r="V14" s="10"/>
      <c r="W14" s="10"/>
      <c r="X14" s="10"/>
      <c r="Y14" s="10"/>
    </row>
    <row r="15" spans="1:25" x14ac:dyDescent="0.45">
      <c r="A15" s="10"/>
      <c r="B15" s="10"/>
      <c r="C15" s="10"/>
      <c r="D15" s="10"/>
      <c r="E15" s="10"/>
      <c r="F15" s="10"/>
      <c r="G15" s="10"/>
      <c r="H15" s="10"/>
      <c r="I15" s="10"/>
      <c r="J15" s="10"/>
      <c r="K15" s="10"/>
      <c r="L15" s="10"/>
      <c r="M15" s="10"/>
      <c r="N15" s="10"/>
      <c r="O15" s="10"/>
      <c r="P15" s="10"/>
      <c r="Q15" s="10"/>
      <c r="R15" s="10"/>
      <c r="S15" s="10"/>
      <c r="T15" s="10"/>
      <c r="U15" s="10"/>
      <c r="V15" s="10"/>
      <c r="W15" s="10"/>
      <c r="X15" s="10"/>
      <c r="Y15" s="10"/>
    </row>
    <row r="16" spans="1:25" x14ac:dyDescent="0.45">
      <c r="A16" s="10"/>
      <c r="B16" s="10"/>
      <c r="C16" s="10"/>
      <c r="D16" s="10"/>
      <c r="E16" s="10"/>
      <c r="F16" s="10"/>
      <c r="G16" s="10"/>
      <c r="H16" s="10"/>
      <c r="I16" s="10"/>
      <c r="J16" s="10"/>
      <c r="K16" s="10"/>
      <c r="L16" s="10"/>
      <c r="M16" s="10"/>
      <c r="N16" s="10"/>
      <c r="O16" s="10"/>
      <c r="P16" s="10"/>
      <c r="Q16" s="10"/>
      <c r="R16" s="10"/>
      <c r="S16" s="10"/>
      <c r="T16" s="10"/>
      <c r="U16" s="10"/>
      <c r="V16" s="10"/>
      <c r="W16" s="10"/>
      <c r="X16" s="10"/>
      <c r="Y16" s="10"/>
    </row>
    <row r="17" spans="1:25" x14ac:dyDescent="0.45">
      <c r="A17" s="10"/>
      <c r="B17" s="10"/>
      <c r="C17" s="10"/>
      <c r="D17" s="10"/>
      <c r="E17" s="10"/>
      <c r="F17" s="10"/>
      <c r="G17" s="10"/>
      <c r="H17" s="10"/>
      <c r="I17" s="10"/>
      <c r="J17" s="10"/>
      <c r="K17" s="10"/>
      <c r="L17" s="10"/>
      <c r="M17" s="10"/>
      <c r="N17" s="10"/>
      <c r="O17" s="10"/>
      <c r="P17" s="10"/>
      <c r="Q17" s="10"/>
      <c r="R17" s="10"/>
      <c r="S17" s="10"/>
      <c r="T17" s="10"/>
      <c r="U17" s="10"/>
      <c r="V17" s="10"/>
      <c r="W17" s="10"/>
      <c r="X17" s="10"/>
      <c r="Y17" s="10"/>
    </row>
    <row r="18" spans="1:25" x14ac:dyDescent="0.45">
      <c r="A18" s="10"/>
      <c r="B18" s="10"/>
      <c r="C18" s="10"/>
      <c r="D18" s="10"/>
      <c r="E18" s="10"/>
      <c r="F18" s="10"/>
      <c r="G18" s="10"/>
      <c r="H18" s="10"/>
      <c r="I18" s="10"/>
      <c r="J18" s="10"/>
      <c r="K18" s="10"/>
      <c r="L18" s="10"/>
      <c r="M18" s="10"/>
      <c r="N18" s="10"/>
      <c r="O18" s="10"/>
      <c r="P18" s="10"/>
      <c r="Q18" s="10"/>
      <c r="R18" s="10"/>
      <c r="S18" s="10"/>
      <c r="T18" s="10"/>
      <c r="U18" s="10"/>
      <c r="V18" s="10"/>
      <c r="W18" s="10"/>
      <c r="X18" s="10"/>
      <c r="Y18" s="10"/>
    </row>
    <row r="19" spans="1:25" x14ac:dyDescent="0.45">
      <c r="A19" s="10"/>
      <c r="B19" s="10"/>
      <c r="C19" s="10"/>
      <c r="D19" s="10"/>
      <c r="E19" s="10"/>
      <c r="F19" s="10"/>
      <c r="G19" s="10"/>
      <c r="H19" s="10"/>
      <c r="I19" s="10"/>
      <c r="J19" s="10"/>
      <c r="K19" s="10"/>
      <c r="L19" s="10"/>
      <c r="M19" s="10"/>
      <c r="N19" s="10"/>
      <c r="O19" s="10"/>
      <c r="P19" s="10"/>
      <c r="Q19" s="10"/>
      <c r="R19" s="10"/>
      <c r="S19" s="10"/>
      <c r="T19" s="10"/>
      <c r="U19" s="10"/>
      <c r="V19" s="10"/>
      <c r="W19" s="10"/>
      <c r="X19" s="10"/>
      <c r="Y19" s="10"/>
    </row>
    <row r="20" spans="1:25" x14ac:dyDescent="0.45">
      <c r="A20" s="10"/>
      <c r="B20" s="10"/>
      <c r="C20" s="10"/>
      <c r="D20" s="10"/>
      <c r="E20" s="10"/>
      <c r="F20" s="10"/>
      <c r="G20" s="10"/>
      <c r="H20" s="10"/>
      <c r="I20" s="10"/>
      <c r="J20" s="10"/>
      <c r="K20" s="10"/>
      <c r="L20" s="10"/>
      <c r="M20" s="10"/>
      <c r="N20" s="10"/>
      <c r="O20" s="10"/>
      <c r="P20" s="10"/>
      <c r="Q20" s="10"/>
      <c r="R20" s="10"/>
      <c r="S20" s="10"/>
      <c r="T20" s="10"/>
      <c r="U20" s="10"/>
      <c r="V20" s="10"/>
      <c r="W20" s="10"/>
      <c r="X20" s="10"/>
      <c r="Y20" s="10"/>
    </row>
    <row r="21" spans="1:25" x14ac:dyDescent="0.45">
      <c r="A21" s="10"/>
      <c r="B21" s="10"/>
      <c r="C21" s="10"/>
      <c r="D21" s="10"/>
      <c r="E21" s="10"/>
      <c r="F21" s="10"/>
      <c r="G21" s="10"/>
      <c r="H21" s="10"/>
      <c r="I21" s="10"/>
      <c r="J21" s="10"/>
      <c r="K21" s="10"/>
      <c r="L21" s="10"/>
      <c r="M21" s="10"/>
      <c r="N21" s="10"/>
      <c r="O21" s="10"/>
      <c r="P21" s="10"/>
      <c r="Q21" s="10"/>
      <c r="R21" s="10"/>
      <c r="S21" s="10"/>
      <c r="T21" s="10"/>
      <c r="U21" s="10"/>
      <c r="V21" s="10"/>
      <c r="W21" s="10"/>
      <c r="X21" s="10"/>
      <c r="Y21" s="10"/>
    </row>
    <row r="22" spans="1:25" ht="29.25" x14ac:dyDescent="0.9">
      <c r="A22" s="10"/>
      <c r="B22" s="5" t="str">
        <f>Analyze!A23</f>
        <v>Headset</v>
      </c>
      <c r="C22" s="6">
        <f>Analyze!B23</f>
        <v>7280000</v>
      </c>
      <c r="D22" s="6">
        <f>Analyze!C23</f>
        <v>1355000</v>
      </c>
      <c r="E22" s="6">
        <f>Analyze!D23</f>
        <v>9290000</v>
      </c>
      <c r="F22" s="6">
        <f>Analyze!E23</f>
        <v>1555000</v>
      </c>
      <c r="G22" s="6">
        <f>Analyze!F23</f>
        <v>19480000</v>
      </c>
      <c r="H22" s="10"/>
      <c r="I22" s="10"/>
      <c r="J22" s="10"/>
      <c r="K22" s="10"/>
      <c r="L22" s="10"/>
      <c r="M22" s="10"/>
      <c r="N22" s="10"/>
      <c r="O22" s="10"/>
      <c r="P22" s="10"/>
      <c r="Q22" s="10"/>
      <c r="R22" s="10"/>
      <c r="S22" s="10"/>
      <c r="T22" s="10"/>
      <c r="U22" s="10"/>
      <c r="V22" s="10"/>
      <c r="W22" s="10"/>
      <c r="X22" s="10"/>
      <c r="Y22" s="10"/>
    </row>
    <row r="23" spans="1:25" ht="29.25" x14ac:dyDescent="0.9">
      <c r="A23" s="10"/>
      <c r="B23" s="5" t="str">
        <f>Analyze!A24</f>
        <v>Keyboard</v>
      </c>
      <c r="C23" s="6">
        <f>Analyze!B24</f>
        <v>85000</v>
      </c>
      <c r="D23" s="6">
        <f>Analyze!C24</f>
        <v>6765000</v>
      </c>
      <c r="E23" s="6">
        <f>Analyze!D24</f>
        <v>4330000</v>
      </c>
      <c r="F23" s="6">
        <f>Analyze!E24</f>
        <v>1360000</v>
      </c>
      <c r="G23" s="6">
        <f>Analyze!F24</f>
        <v>12540000</v>
      </c>
      <c r="H23" s="10"/>
      <c r="I23" s="10"/>
      <c r="J23" s="10"/>
      <c r="K23" s="10"/>
      <c r="L23" s="10"/>
      <c r="M23" s="10"/>
      <c r="N23" s="10"/>
      <c r="O23" s="10"/>
      <c r="P23" s="10"/>
      <c r="Q23" s="10"/>
      <c r="R23" s="10"/>
      <c r="S23" s="10"/>
      <c r="T23" s="10"/>
      <c r="U23" s="10"/>
      <c r="V23" s="10"/>
      <c r="W23" s="10"/>
      <c r="X23" s="10"/>
      <c r="Y23" s="10"/>
    </row>
    <row r="24" spans="1:25" ht="29.25" x14ac:dyDescent="0.9">
      <c r="A24" s="10"/>
      <c r="B24" s="5" t="str">
        <f>Analyze!A25</f>
        <v>Laptop</v>
      </c>
      <c r="C24" s="6">
        <f>Analyze!B25</f>
        <v>4155000</v>
      </c>
      <c r="D24" s="6">
        <f>Analyze!C25</f>
        <v>6200000</v>
      </c>
      <c r="E24" s="6">
        <f>Analyze!D25</f>
        <v>340000</v>
      </c>
      <c r="F24" s="6">
        <f>Analyze!E25</f>
        <v>4080000</v>
      </c>
      <c r="G24" s="6">
        <f>Analyze!F25</f>
        <v>14775000</v>
      </c>
      <c r="H24" s="10"/>
      <c r="I24" s="10"/>
      <c r="J24" s="10"/>
      <c r="K24" s="10"/>
      <c r="L24" s="10"/>
      <c r="M24" s="10"/>
      <c r="N24" s="10"/>
      <c r="O24" s="10"/>
      <c r="P24" s="10"/>
      <c r="Q24" s="10"/>
      <c r="R24" s="10"/>
      <c r="S24" s="10"/>
      <c r="T24" s="10"/>
      <c r="U24" s="10"/>
      <c r="V24" s="10"/>
      <c r="W24" s="10"/>
      <c r="X24" s="10"/>
      <c r="Y24" s="10"/>
    </row>
    <row r="25" spans="1:25" ht="29.25" x14ac:dyDescent="0.9">
      <c r="A25" s="10"/>
      <c r="B25" s="5" t="str">
        <f>Analyze!A26</f>
        <v>Monitor</v>
      </c>
      <c r="C25" s="6">
        <f>Analyze!B26</f>
        <v>4995000</v>
      </c>
      <c r="D25" s="6">
        <f>Analyze!C26</f>
        <v>1510000</v>
      </c>
      <c r="E25" s="6">
        <f>Analyze!D26</f>
        <v>3365000</v>
      </c>
      <c r="F25" s="6">
        <f>Analyze!E26</f>
        <v>3750000</v>
      </c>
      <c r="G25" s="6">
        <f>Analyze!F26</f>
        <v>13620000</v>
      </c>
      <c r="H25" s="10"/>
      <c r="I25" s="10"/>
      <c r="J25" s="10"/>
      <c r="K25" s="10"/>
      <c r="L25" s="10"/>
      <c r="M25" s="10"/>
      <c r="N25" s="10"/>
      <c r="O25" s="10"/>
      <c r="P25" s="10"/>
      <c r="Q25" s="10"/>
      <c r="R25" s="10"/>
      <c r="S25" s="10"/>
      <c r="T25" s="10"/>
      <c r="U25" s="10"/>
      <c r="V25" s="10"/>
      <c r="W25" s="10"/>
      <c r="X25" s="10"/>
      <c r="Y25" s="10"/>
    </row>
    <row r="26" spans="1:25" ht="29.25" x14ac:dyDescent="0.9">
      <c r="A26" s="10"/>
      <c r="B26" s="5" t="str">
        <f>Analyze!A27</f>
        <v>Mouse</v>
      </c>
      <c r="C26" s="6">
        <f>Analyze!B27</f>
        <v>2815000</v>
      </c>
      <c r="D26" s="6">
        <f>Analyze!C27</f>
        <v>10020000</v>
      </c>
      <c r="E26" s="6">
        <f>Analyze!D27</f>
        <v>140000</v>
      </c>
      <c r="F26" s="6">
        <f>Analyze!E27</f>
        <v>8680000</v>
      </c>
      <c r="G26" s="6">
        <f>Analyze!F27</f>
        <v>21655000</v>
      </c>
      <c r="H26" s="10"/>
      <c r="I26" s="10"/>
      <c r="J26" s="10"/>
      <c r="K26" s="10"/>
      <c r="L26" s="10"/>
      <c r="M26" s="10"/>
      <c r="N26" s="10"/>
      <c r="O26" s="10"/>
      <c r="P26" s="10"/>
      <c r="Q26" s="10"/>
      <c r="R26" s="10"/>
      <c r="S26" s="10"/>
      <c r="T26" s="10"/>
      <c r="U26" s="10"/>
      <c r="V26" s="10"/>
      <c r="W26" s="10"/>
      <c r="X26" s="10"/>
      <c r="Y26" s="10"/>
    </row>
    <row r="27" spans="1:25" ht="29.25" x14ac:dyDescent="0.9">
      <c r="A27" s="10"/>
      <c r="B27" s="5" t="str">
        <f>Analyze!A28</f>
        <v>Printer</v>
      </c>
      <c r="C27" s="6">
        <f>Analyze!B28</f>
        <v>9520000</v>
      </c>
      <c r="D27" s="6">
        <f>Analyze!C28</f>
        <v>470000</v>
      </c>
      <c r="E27" s="6">
        <f>Analyze!D28</f>
        <v>4755000</v>
      </c>
      <c r="F27" s="6">
        <f>Analyze!E28</f>
        <v>3410000</v>
      </c>
      <c r="G27" s="6">
        <f>Analyze!F28</f>
        <v>18155000</v>
      </c>
      <c r="H27" s="10"/>
      <c r="I27" s="10"/>
      <c r="J27" s="10"/>
      <c r="K27" s="10"/>
      <c r="L27" s="10"/>
      <c r="M27" s="10"/>
      <c r="N27" s="10"/>
      <c r="O27" s="10"/>
      <c r="P27" s="10"/>
      <c r="Q27" s="10"/>
      <c r="R27" s="10"/>
      <c r="S27" s="10"/>
      <c r="T27" s="10"/>
      <c r="U27" s="10"/>
      <c r="V27" s="10"/>
      <c r="W27" s="10"/>
      <c r="X27" s="10"/>
      <c r="Y27" s="10"/>
    </row>
    <row r="28" spans="1:25" ht="29.25" x14ac:dyDescent="0.9">
      <c r="A28" s="10"/>
      <c r="B28" s="7" t="str">
        <f>Analyze!A29</f>
        <v>Grand Total</v>
      </c>
      <c r="C28" s="8">
        <f>Analyze!B29</f>
        <v>28850000</v>
      </c>
      <c r="D28" s="8">
        <f>Analyze!C29</f>
        <v>26320000</v>
      </c>
      <c r="E28" s="8">
        <f>Analyze!D29</f>
        <v>22220000</v>
      </c>
      <c r="F28" s="8">
        <f>Analyze!E29</f>
        <v>22835000</v>
      </c>
      <c r="G28" s="8">
        <f>Analyze!F29</f>
        <v>100225000</v>
      </c>
      <c r="H28" s="10"/>
      <c r="I28" s="10"/>
      <c r="J28" s="10"/>
      <c r="K28" s="10"/>
      <c r="L28" s="10"/>
      <c r="M28" s="10"/>
      <c r="N28" s="10"/>
      <c r="O28" s="10"/>
      <c r="P28" s="10"/>
      <c r="Q28" s="10"/>
      <c r="R28" s="10"/>
      <c r="S28" s="10"/>
      <c r="T28" s="10"/>
      <c r="U28" s="10"/>
      <c r="V28" s="10"/>
      <c r="W28" s="10"/>
      <c r="X28" s="10"/>
      <c r="Y28" s="10"/>
    </row>
    <row r="29" spans="1:25" x14ac:dyDescent="0.45">
      <c r="A29" s="10"/>
      <c r="B29" s="10"/>
      <c r="C29" s="10"/>
      <c r="D29" s="10"/>
      <c r="E29" s="10"/>
      <c r="F29" s="10"/>
      <c r="G29" s="10"/>
      <c r="H29" s="10"/>
      <c r="I29" s="10"/>
      <c r="J29" s="10"/>
      <c r="K29" s="10"/>
      <c r="L29" s="10"/>
      <c r="M29" s="10"/>
      <c r="N29" s="10"/>
      <c r="O29" s="10"/>
      <c r="P29" s="10"/>
      <c r="Q29" s="10"/>
      <c r="R29" s="10"/>
      <c r="S29" s="10"/>
      <c r="T29" s="10"/>
      <c r="U29" s="10"/>
      <c r="V29" s="10"/>
      <c r="W29" s="10"/>
      <c r="X29" s="10"/>
      <c r="Y29" s="10"/>
    </row>
    <row r="30" spans="1:25" x14ac:dyDescent="0.45">
      <c r="A30" s="10"/>
      <c r="B30" s="10"/>
      <c r="C30" s="10"/>
      <c r="D30" s="10"/>
      <c r="E30" s="10"/>
      <c r="F30" s="10"/>
      <c r="G30" s="10"/>
      <c r="H30" s="10"/>
      <c r="I30" s="10"/>
      <c r="J30" s="10"/>
      <c r="K30" s="10"/>
      <c r="L30" s="10"/>
      <c r="M30" s="10"/>
      <c r="N30" s="10"/>
      <c r="O30" s="10"/>
      <c r="P30" s="10"/>
      <c r="Q30" s="10"/>
      <c r="R30" s="10"/>
      <c r="S30" s="10"/>
      <c r="T30" s="10"/>
      <c r="U30" s="10"/>
      <c r="V30" s="10"/>
      <c r="W30" s="10"/>
      <c r="X30" s="10"/>
      <c r="Y30" s="10"/>
    </row>
    <row r="31" spans="1:25" x14ac:dyDescent="0.45">
      <c r="A31" s="10"/>
      <c r="B31" s="10"/>
      <c r="C31" s="10"/>
      <c r="D31" s="10"/>
      <c r="E31" s="10"/>
      <c r="F31" s="10"/>
      <c r="G31" s="10"/>
      <c r="H31" s="10"/>
      <c r="I31" s="10"/>
      <c r="J31" s="10"/>
      <c r="K31" s="10"/>
      <c r="L31" s="10"/>
      <c r="M31" s="10"/>
      <c r="N31" s="10"/>
      <c r="O31" s="10"/>
      <c r="P31" s="10"/>
      <c r="Q31" s="10"/>
      <c r="R31" s="10"/>
      <c r="S31" s="10"/>
      <c r="T31" s="10"/>
      <c r="U31" s="10"/>
      <c r="V31" s="10"/>
      <c r="W31" s="10"/>
      <c r="X31" s="10"/>
      <c r="Y31" s="10"/>
    </row>
    <row r="32" spans="1:25" x14ac:dyDescent="0.45">
      <c r="A32" s="10"/>
      <c r="B32" s="10"/>
      <c r="C32" s="10"/>
      <c r="D32" s="10"/>
      <c r="E32" s="10"/>
      <c r="F32" s="10"/>
      <c r="G32" s="10"/>
      <c r="H32" s="10"/>
      <c r="I32" s="10"/>
      <c r="J32" s="10"/>
      <c r="K32" s="10"/>
      <c r="L32" s="10"/>
      <c r="M32" s="10"/>
      <c r="N32" s="10"/>
      <c r="O32" s="10"/>
      <c r="P32" s="10"/>
      <c r="Q32" s="10"/>
      <c r="R32" s="10"/>
      <c r="S32" s="10"/>
      <c r="T32" s="10"/>
      <c r="U32" s="10"/>
      <c r="V32" s="10"/>
      <c r="W32" s="10"/>
      <c r="X32" s="10"/>
      <c r="Y32" s="10"/>
    </row>
    <row r="33" spans="1:25" x14ac:dyDescent="0.45">
      <c r="A33" s="10"/>
      <c r="B33" s="10"/>
      <c r="C33" s="10"/>
      <c r="D33" s="10"/>
      <c r="E33" s="10"/>
      <c r="F33" s="10"/>
      <c r="G33" s="10"/>
      <c r="H33" s="10"/>
      <c r="I33" s="10"/>
      <c r="J33" s="10"/>
      <c r="K33" s="10"/>
      <c r="L33" s="10"/>
      <c r="M33" s="10"/>
      <c r="N33" s="10"/>
      <c r="O33" s="10"/>
      <c r="P33" s="10"/>
      <c r="Q33" s="10"/>
      <c r="R33" s="10"/>
      <c r="S33" s="10"/>
      <c r="T33" s="10"/>
      <c r="U33" s="10"/>
      <c r="V33" s="10"/>
      <c r="W33" s="10"/>
      <c r="X33" s="10"/>
      <c r="Y33" s="10"/>
    </row>
    <row r="34" spans="1:25" x14ac:dyDescent="0.45">
      <c r="A34" s="10"/>
      <c r="B34" s="10"/>
      <c r="C34" s="10"/>
      <c r="D34" s="10"/>
      <c r="E34" s="10"/>
      <c r="F34" s="10"/>
      <c r="G34" s="10"/>
      <c r="H34" s="10"/>
      <c r="I34" s="10"/>
      <c r="J34" s="10"/>
      <c r="K34" s="10"/>
      <c r="L34" s="10"/>
      <c r="M34" s="10"/>
      <c r="N34" s="10"/>
      <c r="O34" s="10"/>
      <c r="P34" s="10"/>
      <c r="Q34" s="10"/>
      <c r="R34" s="10"/>
      <c r="S34" s="10"/>
      <c r="T34" s="10"/>
      <c r="U34" s="10"/>
      <c r="V34" s="10"/>
      <c r="W34" s="10"/>
      <c r="X34" s="10"/>
      <c r="Y34" s="10"/>
    </row>
    <row r="35" spans="1:25" x14ac:dyDescent="0.45">
      <c r="A35" s="10"/>
      <c r="B35" s="10"/>
      <c r="C35" s="10"/>
      <c r="D35" s="10"/>
      <c r="E35" s="10"/>
      <c r="F35" s="10"/>
      <c r="G35" s="10"/>
      <c r="H35" s="10"/>
      <c r="I35" s="10"/>
      <c r="J35" s="10"/>
      <c r="K35" s="10"/>
      <c r="L35" s="10"/>
      <c r="M35" s="10"/>
      <c r="N35" s="10"/>
      <c r="O35" s="10"/>
      <c r="P35" s="10"/>
      <c r="Q35" s="10"/>
      <c r="R35" s="10"/>
      <c r="S35" s="10"/>
      <c r="T35" s="10"/>
      <c r="U35" s="10"/>
      <c r="V35" s="10"/>
      <c r="W35" s="10"/>
      <c r="X35" s="10"/>
      <c r="Y35" s="10"/>
    </row>
    <row r="36" spans="1:25" x14ac:dyDescent="0.45">
      <c r="A36" s="10"/>
      <c r="B36" s="10"/>
      <c r="C36" s="10"/>
      <c r="D36" s="10"/>
      <c r="E36" s="10"/>
      <c r="F36" s="10"/>
      <c r="G36" s="10"/>
      <c r="H36" s="10"/>
      <c r="I36" s="10"/>
      <c r="J36" s="10"/>
      <c r="K36" s="10"/>
      <c r="L36" s="10"/>
      <c r="M36" s="10"/>
      <c r="N36" s="10"/>
      <c r="O36" s="10"/>
      <c r="P36" s="10"/>
      <c r="Q36" s="10"/>
      <c r="R36" s="10"/>
      <c r="S36" s="10"/>
      <c r="T36" s="10"/>
      <c r="U36" s="10"/>
      <c r="V36" s="10"/>
      <c r="W36" s="10"/>
      <c r="X36" s="10"/>
      <c r="Y36" s="10"/>
    </row>
    <row r="37" spans="1:25" x14ac:dyDescent="0.45">
      <c r="A37" s="10"/>
      <c r="B37" s="10"/>
      <c r="C37" s="10"/>
      <c r="D37" s="10"/>
      <c r="E37" s="10"/>
      <c r="F37" s="10"/>
      <c r="G37" s="10"/>
      <c r="H37" s="10"/>
      <c r="I37" s="10"/>
      <c r="J37" s="10"/>
      <c r="K37" s="10"/>
      <c r="L37" s="10"/>
      <c r="M37" s="10"/>
      <c r="N37" s="10"/>
      <c r="O37" s="10"/>
      <c r="P37" s="10"/>
      <c r="Q37" s="10"/>
      <c r="R37" s="10"/>
      <c r="S37" s="10"/>
      <c r="T37" s="10"/>
      <c r="U37" s="10"/>
      <c r="V37" s="10"/>
      <c r="W37" s="10"/>
      <c r="X37" s="10"/>
      <c r="Y37" s="10"/>
    </row>
    <row r="38" spans="1:25" x14ac:dyDescent="0.45">
      <c r="A38" s="10"/>
      <c r="B38" s="10"/>
      <c r="C38" s="10"/>
      <c r="D38" s="10"/>
      <c r="E38" s="10"/>
      <c r="F38" s="10"/>
      <c r="G38" s="10"/>
      <c r="H38" s="10"/>
      <c r="I38" s="10"/>
      <c r="J38" s="10"/>
      <c r="K38" s="10"/>
      <c r="L38" s="10"/>
      <c r="M38" s="10"/>
      <c r="N38" s="10"/>
      <c r="O38" s="10"/>
      <c r="P38" s="10"/>
      <c r="Q38" s="10"/>
      <c r="R38" s="10"/>
      <c r="S38" s="10"/>
      <c r="T38" s="10"/>
      <c r="U38" s="10"/>
      <c r="V38" s="10"/>
      <c r="W38" s="10"/>
      <c r="X38" s="10"/>
      <c r="Y38" s="10"/>
    </row>
    <row r="39" spans="1:25" x14ac:dyDescent="0.45">
      <c r="A39" s="10"/>
      <c r="B39" s="10"/>
      <c r="C39" s="10"/>
      <c r="D39" s="10"/>
      <c r="E39" s="10"/>
      <c r="F39" s="10"/>
      <c r="G39" s="10"/>
      <c r="H39" s="10"/>
      <c r="I39" s="10"/>
      <c r="J39" s="10"/>
      <c r="K39" s="10"/>
      <c r="L39" s="10"/>
      <c r="M39" s="10"/>
      <c r="N39" s="10"/>
      <c r="O39" s="10"/>
      <c r="P39" s="10"/>
      <c r="Q39" s="10"/>
      <c r="R39" s="10"/>
      <c r="S39" s="10"/>
      <c r="T39" s="10"/>
      <c r="U39" s="10"/>
      <c r="V39" s="10"/>
      <c r="W39" s="10"/>
      <c r="X39" s="10"/>
      <c r="Y39" s="10"/>
    </row>
    <row r="40" spans="1:25" x14ac:dyDescent="0.45">
      <c r="A40" s="10"/>
      <c r="B40" s="10"/>
      <c r="C40" s="10"/>
      <c r="D40" s="10"/>
      <c r="E40" s="10"/>
      <c r="F40" s="10"/>
      <c r="G40" s="10"/>
      <c r="H40" s="10"/>
      <c r="I40" s="10"/>
      <c r="J40" s="10"/>
      <c r="K40" s="10"/>
      <c r="L40" s="10"/>
      <c r="M40" s="10"/>
      <c r="N40" s="10"/>
      <c r="O40" s="10"/>
      <c r="P40" s="10"/>
      <c r="Q40" s="10"/>
      <c r="R40" s="10"/>
      <c r="S40" s="10"/>
      <c r="T40" s="10"/>
      <c r="U40" s="10"/>
      <c r="V40" s="10"/>
      <c r="W40" s="10"/>
      <c r="X40" s="10"/>
      <c r="Y40" s="10"/>
    </row>
    <row r="41" spans="1:25" x14ac:dyDescent="0.45">
      <c r="A41" s="10"/>
      <c r="B41" s="10"/>
      <c r="C41" s="10"/>
      <c r="D41" s="10"/>
      <c r="E41" s="10"/>
      <c r="F41" s="10"/>
      <c r="G41" s="10"/>
      <c r="H41" s="10"/>
      <c r="I41" s="10"/>
      <c r="J41" s="10"/>
      <c r="K41" s="10"/>
      <c r="L41" s="10"/>
      <c r="M41" s="10"/>
      <c r="N41" s="10"/>
      <c r="O41" s="10"/>
      <c r="P41" s="10"/>
      <c r="Q41" s="10"/>
      <c r="R41" s="10"/>
      <c r="S41" s="10"/>
      <c r="T41" s="10"/>
      <c r="U41" s="10"/>
      <c r="V41" s="10"/>
      <c r="W41" s="10"/>
      <c r="X41" s="10"/>
      <c r="Y41" s="10"/>
    </row>
    <row r="42" spans="1:25" x14ac:dyDescent="0.45">
      <c r="A42" s="10"/>
      <c r="B42" s="10"/>
      <c r="C42" s="10"/>
      <c r="D42" s="10"/>
      <c r="E42" s="10"/>
      <c r="F42" s="10"/>
      <c r="G42" s="10"/>
      <c r="H42" s="10"/>
      <c r="I42" s="10"/>
      <c r="J42" s="10"/>
      <c r="K42" s="10"/>
      <c r="L42" s="10"/>
      <c r="M42" s="10"/>
      <c r="N42" s="10"/>
      <c r="O42" s="10"/>
      <c r="P42" s="10"/>
      <c r="Q42" s="10"/>
      <c r="R42" s="10"/>
      <c r="S42" s="10"/>
      <c r="T42" s="10"/>
      <c r="U42" s="10"/>
      <c r="V42" s="10"/>
      <c r="W42" s="10"/>
      <c r="X42" s="10"/>
      <c r="Y42" s="10"/>
    </row>
    <row r="43" spans="1:25" x14ac:dyDescent="0.45">
      <c r="A43" s="10"/>
      <c r="B43" s="10"/>
      <c r="C43" s="10"/>
      <c r="D43" s="10"/>
      <c r="E43" s="10"/>
      <c r="F43" s="10"/>
      <c r="G43" s="10"/>
      <c r="H43" s="10"/>
      <c r="I43" s="10"/>
      <c r="J43" s="10"/>
      <c r="K43" s="10"/>
      <c r="L43" s="10"/>
      <c r="M43" s="10"/>
      <c r="N43" s="10"/>
      <c r="O43" s="10"/>
      <c r="P43" s="10"/>
      <c r="Q43" s="10"/>
      <c r="R43" s="10"/>
      <c r="S43" s="10"/>
      <c r="T43" s="10"/>
      <c r="U43" s="10"/>
      <c r="V43" s="10"/>
      <c r="W43" s="10"/>
      <c r="X43" s="10"/>
      <c r="Y43" s="10"/>
    </row>
    <row r="44" spans="1:25" x14ac:dyDescent="0.45">
      <c r="A44" s="10"/>
      <c r="B44" s="10"/>
      <c r="C44" s="10"/>
      <c r="D44" s="10"/>
      <c r="E44" s="10"/>
      <c r="F44" s="10"/>
      <c r="G44" s="10"/>
      <c r="H44" s="10"/>
      <c r="I44" s="10"/>
      <c r="J44" s="10"/>
      <c r="K44" s="10"/>
      <c r="L44" s="10"/>
      <c r="M44" s="10"/>
      <c r="N44" s="10"/>
      <c r="O44" s="10"/>
      <c r="P44" s="10"/>
      <c r="Q44" s="10"/>
      <c r="R44" s="10"/>
      <c r="S44" s="10"/>
      <c r="T44" s="10"/>
      <c r="U44" s="10"/>
      <c r="V44" s="10"/>
      <c r="W44" s="10"/>
      <c r="X44" s="10"/>
      <c r="Y44" s="10"/>
    </row>
    <row r="45" spans="1:25" x14ac:dyDescent="0.45">
      <c r="A45" s="10"/>
      <c r="B45" s="10"/>
      <c r="C45" s="10"/>
      <c r="D45" s="10"/>
      <c r="E45" s="10"/>
      <c r="F45" s="10"/>
      <c r="G45" s="10"/>
      <c r="H45" s="10"/>
      <c r="I45" s="10"/>
      <c r="J45" s="10"/>
      <c r="K45" s="10"/>
      <c r="L45" s="10"/>
      <c r="M45" s="10"/>
      <c r="N45" s="10"/>
      <c r="O45" s="10"/>
      <c r="P45" s="10"/>
      <c r="Q45" s="10"/>
      <c r="R45" s="10"/>
      <c r="S45" s="10"/>
      <c r="T45" s="10"/>
      <c r="U45" s="10"/>
      <c r="V45" s="10"/>
      <c r="W45" s="10"/>
      <c r="X45" s="10"/>
      <c r="Y45" s="10"/>
    </row>
    <row r="46" spans="1:25" x14ac:dyDescent="0.45">
      <c r="A46" s="10"/>
      <c r="B46" s="10"/>
      <c r="C46" s="10"/>
      <c r="D46" s="10"/>
      <c r="E46" s="10"/>
      <c r="F46" s="10"/>
      <c r="G46" s="10"/>
      <c r="H46" s="10"/>
      <c r="I46" s="10"/>
      <c r="J46" s="10"/>
      <c r="K46" s="10"/>
      <c r="L46" s="10"/>
      <c r="M46" s="10"/>
      <c r="N46" s="10"/>
      <c r="O46" s="10"/>
      <c r="P46" s="10"/>
      <c r="Q46" s="10"/>
      <c r="R46" s="10"/>
      <c r="S46" s="10"/>
      <c r="T46" s="10"/>
      <c r="U46" s="10"/>
      <c r="V46" s="10"/>
      <c r="W46" s="10"/>
      <c r="X46" s="10"/>
      <c r="Y46" s="10"/>
    </row>
    <row r="47" spans="1:25" x14ac:dyDescent="0.45">
      <c r="A47" s="10"/>
      <c r="B47" s="10"/>
      <c r="C47" s="10"/>
      <c r="D47" s="10"/>
      <c r="E47" s="10"/>
      <c r="F47" s="10"/>
      <c r="G47" s="10"/>
      <c r="H47" s="10"/>
      <c r="I47" s="10"/>
      <c r="J47" s="10"/>
      <c r="K47" s="10"/>
      <c r="L47" s="10"/>
      <c r="M47" s="10"/>
      <c r="N47" s="10"/>
      <c r="O47" s="10"/>
      <c r="P47" s="10"/>
      <c r="Q47" s="10"/>
      <c r="R47" s="10"/>
      <c r="S47" s="10"/>
      <c r="T47" s="10"/>
      <c r="U47" s="10"/>
      <c r="V47" s="10"/>
      <c r="W47" s="10"/>
      <c r="X47" s="10"/>
      <c r="Y47" s="10"/>
    </row>
    <row r="48" spans="1:25" x14ac:dyDescent="0.45">
      <c r="A48" s="10"/>
      <c r="B48" s="10"/>
      <c r="C48" s="10"/>
      <c r="D48" s="10"/>
      <c r="E48" s="10"/>
      <c r="F48" s="10"/>
      <c r="G48" s="10"/>
      <c r="H48" s="10"/>
      <c r="I48" s="10"/>
      <c r="J48" s="10"/>
      <c r="K48" s="10"/>
      <c r="L48" s="10"/>
      <c r="M48" s="10"/>
      <c r="N48" s="10"/>
      <c r="O48" s="10"/>
      <c r="P48" s="10"/>
      <c r="Q48" s="10"/>
      <c r="R48" s="10"/>
      <c r="S48" s="10"/>
      <c r="T48" s="10"/>
      <c r="U48" s="10"/>
      <c r="V48" s="10"/>
      <c r="W48" s="10"/>
      <c r="X48" s="10"/>
      <c r="Y48" s="10"/>
    </row>
    <row r="49" spans="1:25" x14ac:dyDescent="0.45">
      <c r="A49" s="10"/>
      <c r="B49" s="10"/>
      <c r="C49" s="10"/>
      <c r="D49" s="10"/>
      <c r="E49" s="10"/>
      <c r="F49" s="10"/>
      <c r="G49" s="10"/>
      <c r="H49" s="10"/>
      <c r="I49" s="10"/>
      <c r="J49" s="10"/>
      <c r="K49" s="10"/>
      <c r="L49" s="10"/>
      <c r="M49" s="10"/>
      <c r="N49" s="10"/>
      <c r="O49" s="10"/>
      <c r="P49" s="10"/>
      <c r="Q49" s="10"/>
      <c r="R49" s="10"/>
      <c r="S49" s="10"/>
      <c r="T49" s="10"/>
      <c r="U49" s="10"/>
      <c r="V49" s="10"/>
      <c r="W49" s="10"/>
      <c r="X49" s="10"/>
      <c r="Y49" s="10"/>
    </row>
    <row r="50" spans="1:25" x14ac:dyDescent="0.45">
      <c r="A50" s="10"/>
      <c r="B50" s="10"/>
      <c r="C50" s="10"/>
      <c r="D50" s="10"/>
      <c r="E50" s="10"/>
      <c r="F50" s="10"/>
      <c r="G50" s="10"/>
      <c r="H50" s="10"/>
      <c r="I50" s="10"/>
      <c r="J50" s="10"/>
      <c r="K50" s="10"/>
      <c r="L50" s="10"/>
      <c r="M50" s="10"/>
      <c r="N50" s="10"/>
      <c r="O50" s="10"/>
      <c r="P50" s="10"/>
      <c r="Q50" s="10"/>
      <c r="R50" s="10"/>
      <c r="S50" s="10"/>
      <c r="T50" s="10"/>
      <c r="U50" s="10"/>
      <c r="V50" s="10"/>
      <c r="W50" s="10"/>
      <c r="X50" s="10"/>
      <c r="Y50" s="10"/>
    </row>
    <row r="51" spans="1:25" x14ac:dyDescent="0.45">
      <c r="A51" s="10"/>
      <c r="B51" s="10"/>
      <c r="C51" s="10"/>
      <c r="D51" s="10"/>
      <c r="E51" s="10"/>
      <c r="F51" s="10"/>
      <c r="G51" s="10"/>
      <c r="H51" s="10"/>
      <c r="I51" s="10"/>
      <c r="J51" s="10"/>
      <c r="K51" s="10"/>
      <c r="L51" s="10"/>
      <c r="M51" s="10"/>
      <c r="N51" s="10"/>
      <c r="O51" s="10"/>
      <c r="P51" s="10"/>
      <c r="Q51" s="10"/>
      <c r="R51" s="10"/>
      <c r="S51" s="10"/>
      <c r="T51" s="10"/>
      <c r="U51" s="10"/>
      <c r="V51" s="10"/>
      <c r="W51" s="10"/>
      <c r="X51" s="10"/>
      <c r="Y51" s="10"/>
    </row>
    <row r="52" spans="1:25" x14ac:dyDescent="0.45">
      <c r="A52" s="10"/>
      <c r="B52" s="10"/>
      <c r="C52" s="10"/>
      <c r="D52" s="10"/>
      <c r="E52" s="10"/>
      <c r="F52" s="10"/>
      <c r="G52" s="10"/>
      <c r="H52" s="10"/>
      <c r="I52" s="10"/>
      <c r="J52" s="10"/>
      <c r="K52" s="10"/>
      <c r="L52" s="10"/>
      <c r="M52" s="10"/>
      <c r="N52" s="10"/>
      <c r="O52" s="10"/>
      <c r="P52" s="10"/>
      <c r="Q52" s="10"/>
      <c r="R52" s="10"/>
      <c r="S52" s="10"/>
      <c r="T52" s="10"/>
      <c r="U52" s="10"/>
      <c r="V52" s="10"/>
      <c r="W52" s="10"/>
      <c r="X52" s="10"/>
      <c r="Y52" s="10"/>
    </row>
    <row r="53" spans="1:25" x14ac:dyDescent="0.45">
      <c r="A53" s="10"/>
      <c r="B53" s="10"/>
      <c r="C53" s="10"/>
      <c r="D53" s="10"/>
      <c r="E53" s="10"/>
      <c r="F53" s="10"/>
      <c r="G53" s="10"/>
      <c r="H53" s="10"/>
      <c r="I53" s="10"/>
      <c r="J53" s="10"/>
      <c r="K53" s="10"/>
      <c r="L53" s="10"/>
      <c r="M53" s="10"/>
      <c r="N53" s="10"/>
      <c r="O53" s="10"/>
      <c r="P53" s="10"/>
      <c r="Q53" s="10"/>
      <c r="R53" s="10"/>
      <c r="S53" s="10"/>
      <c r="T53" s="10"/>
      <c r="U53" s="10"/>
      <c r="V53" s="10"/>
      <c r="W53" s="10"/>
      <c r="X53" s="10"/>
      <c r="Y53" s="10"/>
    </row>
    <row r="54" spans="1:25" x14ac:dyDescent="0.45">
      <c r="A54" s="10"/>
      <c r="B54" s="10"/>
      <c r="C54" s="10"/>
      <c r="D54" s="10"/>
      <c r="E54" s="10"/>
      <c r="F54" s="10"/>
      <c r="G54" s="10"/>
      <c r="H54" s="10"/>
      <c r="I54" s="10"/>
      <c r="J54" s="10"/>
      <c r="K54" s="10"/>
      <c r="L54" s="10"/>
      <c r="M54" s="10"/>
      <c r="N54" s="10"/>
      <c r="O54" s="10"/>
      <c r="P54" s="10"/>
      <c r="Q54" s="10"/>
      <c r="R54" s="10"/>
      <c r="S54" s="10"/>
      <c r="T54" s="10"/>
      <c r="U54" s="10"/>
      <c r="V54" s="10"/>
      <c r="W54" s="10"/>
      <c r="X54" s="10"/>
      <c r="Y54" s="10"/>
    </row>
    <row r="55" spans="1:25" x14ac:dyDescent="0.45">
      <c r="A55" s="10"/>
      <c r="B55" s="10"/>
      <c r="C55" s="10"/>
      <c r="D55" s="10"/>
      <c r="E55" s="10"/>
      <c r="F55" s="10"/>
      <c r="G55" s="10"/>
      <c r="H55" s="10"/>
      <c r="I55" s="10"/>
      <c r="J55" s="10"/>
      <c r="K55" s="10"/>
      <c r="L55" s="10"/>
      <c r="M55" s="10"/>
      <c r="N55" s="10"/>
      <c r="O55" s="10"/>
      <c r="P55" s="10"/>
      <c r="Q55" s="10"/>
      <c r="R55" s="10"/>
      <c r="S55" s="10"/>
      <c r="T55" s="10"/>
      <c r="U55" s="10"/>
      <c r="V55" s="10"/>
      <c r="W55" s="10"/>
      <c r="X55" s="10"/>
      <c r="Y55" s="10"/>
    </row>
    <row r="56" spans="1:25" x14ac:dyDescent="0.45">
      <c r="A56" s="10"/>
      <c r="B56" s="10"/>
      <c r="C56" s="10"/>
      <c r="D56" s="10"/>
      <c r="E56" s="10"/>
      <c r="F56" s="10"/>
      <c r="G56" s="10"/>
      <c r="H56" s="10"/>
      <c r="I56" s="10"/>
      <c r="J56" s="10"/>
      <c r="K56" s="10"/>
      <c r="L56" s="10"/>
      <c r="M56" s="10"/>
      <c r="N56" s="10"/>
      <c r="O56" s="10"/>
      <c r="P56" s="10"/>
      <c r="Q56" s="10"/>
      <c r="R56" s="10"/>
      <c r="S56" s="10"/>
      <c r="T56" s="10"/>
      <c r="U56" s="10"/>
      <c r="V56" s="10"/>
      <c r="W56" s="10"/>
      <c r="X56" s="10"/>
      <c r="Y56" s="10"/>
    </row>
    <row r="57" spans="1:25" x14ac:dyDescent="0.45">
      <c r="A57" s="10"/>
      <c r="B57" s="10"/>
      <c r="C57" s="10"/>
      <c r="D57" s="10"/>
      <c r="E57" s="10"/>
      <c r="F57" s="10"/>
      <c r="G57" s="10"/>
      <c r="H57" s="10"/>
      <c r="I57" s="10"/>
      <c r="J57" s="10"/>
      <c r="K57" s="10"/>
      <c r="L57" s="10"/>
      <c r="M57" s="10"/>
      <c r="N57" s="10"/>
      <c r="O57" s="10"/>
      <c r="P57" s="10"/>
      <c r="Q57" s="10"/>
      <c r="R57" s="10"/>
      <c r="S57" s="10"/>
      <c r="T57" s="10"/>
      <c r="U57" s="10"/>
      <c r="V57" s="10"/>
      <c r="W57" s="10"/>
      <c r="X57" s="10"/>
      <c r="Y57" s="10"/>
    </row>
    <row r="58" spans="1:25" x14ac:dyDescent="0.45">
      <c r="A58" s="10"/>
      <c r="B58" s="10"/>
      <c r="C58" s="10"/>
      <c r="D58" s="10"/>
      <c r="E58" s="10"/>
      <c r="F58" s="10"/>
      <c r="G58" s="10"/>
      <c r="H58" s="10"/>
      <c r="I58" s="10"/>
      <c r="J58" s="10"/>
      <c r="K58" s="10"/>
      <c r="L58" s="10"/>
      <c r="M58" s="10"/>
      <c r="N58" s="10"/>
      <c r="O58" s="10"/>
      <c r="P58" s="10"/>
      <c r="Q58" s="10"/>
      <c r="R58" s="10"/>
      <c r="S58" s="10"/>
      <c r="T58" s="10"/>
      <c r="U58" s="10"/>
      <c r="V58" s="10"/>
      <c r="W58" s="10"/>
      <c r="X58" s="10"/>
      <c r="Y58" s="10"/>
    </row>
    <row r="59" spans="1:25" x14ac:dyDescent="0.45">
      <c r="A59" s="10"/>
      <c r="B59" s="10"/>
      <c r="C59" s="10"/>
      <c r="D59" s="10"/>
      <c r="E59" s="10"/>
      <c r="F59" s="10"/>
      <c r="G59" s="10"/>
      <c r="H59" s="10"/>
      <c r="I59" s="10"/>
      <c r="J59" s="10"/>
      <c r="K59" s="10"/>
      <c r="L59" s="10"/>
      <c r="M59" s="10"/>
      <c r="N59" s="10"/>
      <c r="O59" s="10"/>
      <c r="P59" s="10"/>
      <c r="Q59" s="10"/>
      <c r="R59" s="10"/>
      <c r="S59" s="10"/>
      <c r="T59" s="10"/>
      <c r="U59" s="10"/>
      <c r="V59" s="10"/>
      <c r="W59" s="10"/>
      <c r="X59" s="10"/>
      <c r="Y59" s="10"/>
    </row>
    <row r="60" spans="1:25" x14ac:dyDescent="0.45">
      <c r="A60" s="10"/>
      <c r="B60" s="10"/>
      <c r="C60" s="10"/>
      <c r="D60" s="10"/>
      <c r="E60" s="10"/>
      <c r="F60" s="10"/>
      <c r="G60" s="10"/>
      <c r="H60" s="10"/>
      <c r="I60" s="10"/>
      <c r="J60" s="10"/>
      <c r="K60" s="10"/>
      <c r="L60" s="10"/>
      <c r="M60" s="10"/>
      <c r="N60" s="10"/>
      <c r="O60" s="10"/>
      <c r="P60" s="10"/>
      <c r="Q60" s="10"/>
      <c r="R60" s="10"/>
      <c r="S60" s="10"/>
      <c r="T60" s="10"/>
      <c r="U60" s="10"/>
      <c r="V60" s="10"/>
      <c r="W60" s="10"/>
      <c r="X60" s="10"/>
      <c r="Y60" s="10"/>
    </row>
    <row r="61" spans="1:25" x14ac:dyDescent="0.45">
      <c r="A61" s="10"/>
      <c r="B61" s="10"/>
      <c r="C61" s="10"/>
      <c r="D61" s="10"/>
      <c r="E61" s="10"/>
      <c r="F61" s="10"/>
      <c r="G61" s="10"/>
      <c r="H61" s="10"/>
      <c r="I61" s="10"/>
      <c r="J61" s="10"/>
      <c r="K61" s="10"/>
      <c r="L61" s="10"/>
      <c r="M61" s="10"/>
      <c r="N61" s="10"/>
      <c r="O61" s="10"/>
      <c r="P61" s="10"/>
      <c r="Q61" s="10"/>
      <c r="R61" s="10"/>
      <c r="S61" s="10"/>
      <c r="T61" s="10"/>
      <c r="U61" s="10"/>
      <c r="V61" s="10"/>
      <c r="W61" s="10"/>
      <c r="X61" s="10"/>
      <c r="Y61" s="10"/>
    </row>
    <row r="62" spans="1:25" x14ac:dyDescent="0.45">
      <c r="A62" s="10"/>
      <c r="B62" s="10"/>
      <c r="C62" s="10"/>
      <c r="D62" s="10"/>
      <c r="E62" s="10"/>
      <c r="F62" s="10"/>
      <c r="G62" s="10"/>
      <c r="H62" s="10"/>
      <c r="I62" s="10"/>
      <c r="J62" s="10"/>
      <c r="K62" s="10"/>
      <c r="L62" s="10"/>
      <c r="M62" s="10"/>
      <c r="N62" s="10"/>
      <c r="O62" s="10"/>
      <c r="P62" s="10"/>
      <c r="Q62" s="10"/>
      <c r="R62" s="10"/>
      <c r="S62" s="10"/>
      <c r="T62" s="10"/>
      <c r="U62" s="10"/>
      <c r="V62" s="10"/>
      <c r="W62" s="10"/>
      <c r="X62" s="10"/>
      <c r="Y62" s="10"/>
    </row>
    <row r="63" spans="1:25" x14ac:dyDescent="0.45">
      <c r="A63" s="10"/>
      <c r="B63" s="10"/>
      <c r="C63" s="10"/>
      <c r="D63" s="10"/>
      <c r="E63" s="10"/>
      <c r="F63" s="10"/>
      <c r="G63" s="10"/>
      <c r="H63" s="10"/>
      <c r="I63" s="10"/>
      <c r="J63" s="10"/>
      <c r="K63" s="10"/>
      <c r="L63" s="10"/>
      <c r="M63" s="10"/>
      <c r="N63" s="10"/>
      <c r="O63" s="10"/>
      <c r="P63" s="10"/>
      <c r="Q63" s="10"/>
      <c r="R63" s="10"/>
      <c r="S63" s="10"/>
      <c r="T63" s="10"/>
      <c r="U63" s="10"/>
      <c r="V63" s="10"/>
      <c r="W63" s="10"/>
      <c r="X63" s="10"/>
      <c r="Y63" s="10"/>
    </row>
    <row r="64" spans="1:25" x14ac:dyDescent="0.45">
      <c r="A64" s="10"/>
      <c r="B64" s="10"/>
      <c r="C64" s="10"/>
      <c r="D64" s="10"/>
      <c r="E64" s="10"/>
      <c r="F64" s="10"/>
      <c r="G64" s="10"/>
      <c r="H64" s="10"/>
      <c r="I64" s="10"/>
      <c r="J64" s="10"/>
      <c r="K64" s="10"/>
      <c r="L64" s="10"/>
      <c r="M64" s="10"/>
      <c r="N64" s="10"/>
      <c r="O64" s="10"/>
      <c r="P64" s="10"/>
      <c r="Q64" s="10"/>
      <c r="R64" s="10"/>
      <c r="S64" s="10"/>
      <c r="T64" s="10"/>
      <c r="U64" s="10"/>
      <c r="V64" s="10"/>
      <c r="W64" s="10"/>
      <c r="X64" s="10"/>
      <c r="Y64" s="10"/>
    </row>
    <row r="65" spans="1:25" x14ac:dyDescent="0.45">
      <c r="A65" s="10"/>
      <c r="B65" s="10"/>
      <c r="C65" s="10"/>
      <c r="D65" s="10"/>
      <c r="E65" s="10"/>
      <c r="F65" s="10"/>
      <c r="G65" s="10"/>
      <c r="H65" s="10"/>
      <c r="I65" s="10"/>
      <c r="J65" s="10"/>
      <c r="K65" s="10"/>
      <c r="L65" s="10"/>
      <c r="M65" s="10"/>
      <c r="N65" s="10"/>
      <c r="O65" s="10"/>
      <c r="P65" s="10"/>
      <c r="Q65" s="10"/>
      <c r="R65" s="10"/>
      <c r="S65" s="10"/>
      <c r="T65" s="10"/>
      <c r="U65" s="10"/>
      <c r="V65" s="10"/>
      <c r="W65" s="10"/>
      <c r="X65" s="10"/>
      <c r="Y65" s="10"/>
    </row>
    <row r="66" spans="1:25" x14ac:dyDescent="0.45">
      <c r="A66" s="10"/>
      <c r="B66" s="10"/>
      <c r="C66" s="10"/>
      <c r="D66" s="10"/>
      <c r="E66" s="10"/>
      <c r="F66" s="10"/>
      <c r="G66" s="10"/>
      <c r="H66" s="10"/>
      <c r="I66" s="10"/>
      <c r="J66" s="10"/>
      <c r="K66" s="10"/>
      <c r="L66" s="10"/>
      <c r="M66" s="10"/>
      <c r="N66" s="10"/>
      <c r="O66" s="10"/>
      <c r="P66" s="10"/>
      <c r="Q66" s="10"/>
      <c r="R66" s="10"/>
      <c r="S66" s="10"/>
      <c r="T66" s="10"/>
      <c r="U66" s="10"/>
      <c r="V66" s="10"/>
      <c r="W66" s="10"/>
      <c r="X66" s="10"/>
      <c r="Y66" s="10"/>
    </row>
    <row r="67" spans="1:25" x14ac:dyDescent="0.45">
      <c r="A67" s="10"/>
      <c r="B67" s="10"/>
      <c r="C67" s="10"/>
      <c r="D67" s="10"/>
      <c r="E67" s="10"/>
      <c r="F67" s="10"/>
      <c r="G67" s="10"/>
      <c r="H67" s="10"/>
      <c r="I67" s="10"/>
      <c r="J67" s="10"/>
      <c r="K67" s="10"/>
      <c r="L67" s="10"/>
      <c r="M67" s="10"/>
      <c r="N67" s="10"/>
      <c r="O67" s="10"/>
      <c r="P67" s="10"/>
      <c r="Q67" s="10"/>
      <c r="R67" s="10"/>
      <c r="S67" s="10"/>
      <c r="T67" s="10"/>
      <c r="U67" s="10"/>
      <c r="V67" s="10"/>
      <c r="W67" s="10"/>
      <c r="X67" s="10"/>
      <c r="Y67" s="10"/>
    </row>
    <row r="68" spans="1:25" x14ac:dyDescent="0.45">
      <c r="A68" s="10"/>
      <c r="B68" s="10"/>
      <c r="C68" s="10"/>
      <c r="D68" s="10"/>
      <c r="E68" s="10"/>
      <c r="F68" s="10"/>
      <c r="G68" s="10"/>
      <c r="H68" s="10"/>
      <c r="I68" s="10"/>
      <c r="J68" s="10"/>
      <c r="K68" s="10"/>
      <c r="L68" s="10"/>
      <c r="M68" s="10"/>
      <c r="N68" s="10"/>
      <c r="O68" s="10"/>
      <c r="P68" s="10"/>
      <c r="Q68" s="10"/>
      <c r="R68" s="10"/>
      <c r="S68" s="10"/>
      <c r="T68" s="10"/>
      <c r="U68" s="10"/>
      <c r="V68" s="10"/>
      <c r="W68" s="10"/>
      <c r="X68" s="10"/>
      <c r="Y68" s="10"/>
    </row>
    <row r="69" spans="1:25" x14ac:dyDescent="0.45">
      <c r="A69" s="10"/>
      <c r="B69" s="10"/>
      <c r="C69" s="10"/>
      <c r="D69" s="10"/>
      <c r="E69" s="10"/>
      <c r="F69" s="10"/>
      <c r="G69" s="10"/>
      <c r="H69" s="10"/>
      <c r="I69" s="10"/>
      <c r="J69" s="10"/>
      <c r="K69" s="10"/>
      <c r="L69" s="10"/>
      <c r="M69" s="10"/>
      <c r="N69" s="10"/>
      <c r="O69" s="10"/>
      <c r="P69" s="10"/>
      <c r="Q69" s="10"/>
      <c r="R69" s="10"/>
      <c r="S69" s="10"/>
      <c r="T69" s="10"/>
      <c r="U69" s="10"/>
      <c r="V69" s="10"/>
      <c r="W69" s="10"/>
      <c r="X69" s="10"/>
      <c r="Y69" s="10"/>
    </row>
    <row r="70" spans="1:25" x14ac:dyDescent="0.45">
      <c r="A70" s="10"/>
      <c r="B70" s="10"/>
      <c r="C70" s="10"/>
      <c r="D70" s="10"/>
      <c r="E70" s="10"/>
      <c r="F70" s="10"/>
      <c r="G70" s="10"/>
      <c r="H70" s="10"/>
      <c r="I70" s="10"/>
      <c r="J70" s="10"/>
      <c r="K70" s="10"/>
      <c r="L70" s="10"/>
      <c r="M70" s="10"/>
      <c r="N70" s="10"/>
      <c r="O70" s="10"/>
      <c r="P70" s="10"/>
      <c r="Q70" s="10"/>
      <c r="R70" s="10"/>
      <c r="S70" s="10"/>
      <c r="T70" s="10"/>
      <c r="U70" s="10"/>
      <c r="V70" s="10"/>
      <c r="W70" s="10"/>
      <c r="X70" s="10"/>
      <c r="Y70" s="10"/>
    </row>
    <row r="71" spans="1:25" x14ac:dyDescent="0.45">
      <c r="A71" s="10"/>
      <c r="B71" s="10"/>
      <c r="C71" s="10"/>
      <c r="D71" s="10"/>
      <c r="E71" s="10"/>
      <c r="F71" s="10"/>
      <c r="G71" s="10"/>
      <c r="H71" s="10"/>
      <c r="I71" s="10"/>
      <c r="J71" s="10"/>
      <c r="K71" s="10"/>
      <c r="L71" s="10"/>
      <c r="M71" s="10"/>
      <c r="N71" s="10"/>
      <c r="O71" s="10"/>
      <c r="P71" s="10"/>
      <c r="Q71" s="10"/>
      <c r="R71" s="10"/>
      <c r="S71" s="10"/>
      <c r="T71" s="10"/>
      <c r="U71" s="10"/>
      <c r="V71" s="10"/>
      <c r="W71" s="10"/>
      <c r="X71" s="10"/>
      <c r="Y71" s="10"/>
    </row>
    <row r="72" spans="1:25" x14ac:dyDescent="0.45">
      <c r="A72" s="10"/>
      <c r="B72" s="10"/>
      <c r="C72" s="10"/>
      <c r="D72" s="10"/>
      <c r="E72" s="10"/>
      <c r="F72" s="10"/>
      <c r="G72" s="10"/>
      <c r="H72" s="10"/>
      <c r="I72" s="10"/>
      <c r="J72" s="10"/>
      <c r="K72" s="10"/>
      <c r="L72" s="10"/>
      <c r="M72" s="10"/>
      <c r="N72" s="10"/>
      <c r="O72" s="10"/>
      <c r="P72" s="10"/>
      <c r="Q72" s="10"/>
      <c r="R72" s="10"/>
      <c r="S72" s="10"/>
      <c r="T72" s="10"/>
      <c r="U72" s="10"/>
      <c r="V72" s="10"/>
      <c r="W72" s="10"/>
      <c r="X72" s="10"/>
      <c r="Y72" s="10"/>
    </row>
    <row r="73" spans="1:25" x14ac:dyDescent="0.45">
      <c r="A73" s="10"/>
      <c r="B73" s="10"/>
      <c r="C73" s="10"/>
      <c r="D73" s="10"/>
      <c r="E73" s="10"/>
      <c r="F73" s="10"/>
      <c r="G73" s="10"/>
      <c r="H73" s="10"/>
      <c r="I73" s="10"/>
      <c r="J73" s="10"/>
      <c r="K73" s="10"/>
      <c r="L73" s="10"/>
      <c r="M73" s="10"/>
      <c r="N73" s="10"/>
      <c r="O73" s="10"/>
      <c r="P73" s="10"/>
      <c r="Q73" s="10"/>
      <c r="R73" s="10"/>
      <c r="S73" s="10"/>
      <c r="T73" s="10"/>
      <c r="U73" s="10"/>
      <c r="V73" s="10"/>
      <c r="W73" s="10"/>
      <c r="X73" s="10"/>
      <c r="Y73" s="10"/>
    </row>
    <row r="74" spans="1:25" x14ac:dyDescent="0.45">
      <c r="A74" s="10"/>
      <c r="B74" s="10"/>
      <c r="C74" s="10"/>
      <c r="D74" s="10"/>
      <c r="E74" s="10"/>
      <c r="F74" s="10"/>
      <c r="G74" s="10"/>
      <c r="H74" s="10"/>
      <c r="I74" s="10"/>
      <c r="J74" s="10"/>
      <c r="K74" s="10"/>
      <c r="L74" s="10"/>
      <c r="M74" s="10"/>
      <c r="N74" s="10"/>
      <c r="O74" s="10"/>
      <c r="P74" s="10"/>
      <c r="Q74" s="10"/>
      <c r="R74" s="10"/>
      <c r="S74" s="10"/>
      <c r="T74" s="10"/>
      <c r="U74" s="10"/>
      <c r="V74" s="10"/>
      <c r="W74" s="10"/>
      <c r="X74" s="10"/>
      <c r="Y74" s="10"/>
    </row>
    <row r="75" spans="1:25" x14ac:dyDescent="0.45">
      <c r="A75" s="10"/>
      <c r="B75" s="10"/>
      <c r="C75" s="10"/>
      <c r="D75" s="10"/>
      <c r="E75" s="10"/>
      <c r="F75" s="10"/>
      <c r="G75" s="10"/>
      <c r="H75" s="10"/>
      <c r="I75" s="10"/>
      <c r="J75" s="10"/>
      <c r="K75" s="10"/>
      <c r="L75" s="10"/>
      <c r="M75" s="10"/>
      <c r="N75" s="10"/>
      <c r="O75" s="10"/>
      <c r="P75" s="10"/>
      <c r="Q75" s="10"/>
      <c r="R75" s="10"/>
      <c r="S75" s="10"/>
      <c r="T75" s="10"/>
      <c r="U75" s="10"/>
      <c r="V75" s="10"/>
      <c r="W75" s="10"/>
      <c r="X75" s="10"/>
      <c r="Y75" s="10"/>
    </row>
    <row r="76" spans="1:25" x14ac:dyDescent="0.45">
      <c r="A76" s="10"/>
      <c r="B76" s="10"/>
      <c r="C76" s="10"/>
      <c r="D76" s="10"/>
      <c r="E76" s="10"/>
      <c r="F76" s="10"/>
      <c r="G76" s="10"/>
      <c r="H76" s="10"/>
      <c r="I76" s="10"/>
      <c r="J76" s="10"/>
      <c r="K76" s="10"/>
      <c r="L76" s="10"/>
      <c r="M76" s="10"/>
      <c r="N76" s="10"/>
      <c r="O76" s="10"/>
      <c r="P76" s="10"/>
      <c r="Q76" s="10"/>
      <c r="R76" s="10"/>
      <c r="S76" s="10"/>
      <c r="T76" s="10"/>
      <c r="U76" s="10"/>
      <c r="V76" s="10"/>
      <c r="W76" s="10"/>
      <c r="X76" s="10"/>
      <c r="Y76" s="10"/>
    </row>
    <row r="77" spans="1:25" x14ac:dyDescent="0.45">
      <c r="A77" s="10"/>
      <c r="B77" s="10"/>
      <c r="C77" s="10"/>
      <c r="D77" s="10"/>
      <c r="E77" s="10"/>
      <c r="F77" s="10"/>
      <c r="G77" s="10"/>
      <c r="H77" s="10"/>
      <c r="I77" s="10"/>
      <c r="J77" s="10"/>
      <c r="K77" s="10"/>
      <c r="L77" s="10"/>
      <c r="M77" s="10"/>
      <c r="N77" s="10"/>
      <c r="O77" s="10"/>
      <c r="P77" s="10"/>
      <c r="Q77" s="10"/>
      <c r="R77" s="10"/>
      <c r="S77" s="10"/>
      <c r="T77" s="10"/>
      <c r="U77" s="10"/>
      <c r="V77" s="10"/>
      <c r="W77" s="10"/>
      <c r="X77" s="10"/>
      <c r="Y77" s="10"/>
    </row>
    <row r="78" spans="1:25" x14ac:dyDescent="0.45">
      <c r="A78" s="10"/>
      <c r="B78" s="10"/>
      <c r="C78" s="10"/>
      <c r="D78" s="10"/>
      <c r="E78" s="10"/>
      <c r="F78" s="10"/>
      <c r="G78" s="10"/>
      <c r="H78" s="10"/>
      <c r="I78" s="10"/>
      <c r="J78" s="10"/>
      <c r="K78" s="10"/>
      <c r="L78" s="10"/>
      <c r="M78" s="10"/>
      <c r="N78" s="10"/>
      <c r="O78" s="10"/>
      <c r="P78" s="10"/>
      <c r="Q78" s="10"/>
      <c r="R78" s="10"/>
      <c r="S78" s="10"/>
      <c r="T78" s="10"/>
      <c r="U78" s="10"/>
      <c r="V78" s="10"/>
      <c r="W78" s="10"/>
      <c r="X78" s="10"/>
      <c r="Y78" s="10"/>
    </row>
    <row r="79" spans="1:25" x14ac:dyDescent="0.45">
      <c r="A79" s="10"/>
      <c r="B79" s="10"/>
      <c r="C79" s="10"/>
      <c r="D79" s="10"/>
      <c r="E79" s="10"/>
      <c r="F79" s="10"/>
      <c r="G79" s="10"/>
      <c r="H79" s="10"/>
      <c r="I79" s="10"/>
      <c r="J79" s="10"/>
      <c r="K79" s="10"/>
      <c r="L79" s="10"/>
      <c r="M79" s="10"/>
      <c r="N79" s="10"/>
      <c r="O79" s="10"/>
      <c r="P79" s="10"/>
      <c r="Q79" s="10"/>
      <c r="R79" s="10"/>
      <c r="S79" s="10"/>
      <c r="T79" s="10"/>
      <c r="U79" s="10"/>
      <c r="V79" s="10"/>
      <c r="W79" s="10"/>
      <c r="X79" s="10"/>
      <c r="Y79" s="10"/>
    </row>
    <row r="80" spans="1:25" x14ac:dyDescent="0.45">
      <c r="A80" s="10"/>
      <c r="B80" s="10"/>
      <c r="C80" s="10"/>
      <c r="D80" s="10"/>
      <c r="E80" s="10"/>
      <c r="F80" s="10"/>
      <c r="G80" s="10"/>
      <c r="H80" s="10"/>
      <c r="I80" s="10"/>
      <c r="J80" s="10"/>
      <c r="K80" s="10"/>
      <c r="L80" s="10"/>
      <c r="M80" s="10"/>
      <c r="N80" s="10"/>
      <c r="O80" s="10"/>
      <c r="P80" s="10"/>
      <c r="Q80" s="10"/>
      <c r="R80" s="10"/>
      <c r="S80" s="10"/>
      <c r="T80" s="10"/>
      <c r="U80" s="10"/>
      <c r="V80" s="10"/>
      <c r="W80" s="10"/>
      <c r="X80" s="10"/>
      <c r="Y80" s="10"/>
    </row>
    <row r="81" spans="1:25" x14ac:dyDescent="0.45">
      <c r="A81" s="10"/>
      <c r="B81" s="10"/>
      <c r="C81" s="10"/>
      <c r="D81" s="10"/>
      <c r="E81" s="10"/>
      <c r="F81" s="10"/>
      <c r="G81" s="10"/>
      <c r="H81" s="10"/>
      <c r="I81" s="10"/>
      <c r="J81" s="10"/>
      <c r="K81" s="10"/>
      <c r="L81" s="10"/>
      <c r="M81" s="10"/>
      <c r="N81" s="10"/>
      <c r="O81" s="10"/>
      <c r="P81" s="10"/>
      <c r="Q81" s="10"/>
      <c r="R81" s="10"/>
      <c r="S81" s="10"/>
      <c r="T81" s="10"/>
      <c r="U81" s="10"/>
      <c r="V81" s="10"/>
      <c r="W81" s="10"/>
      <c r="X81" s="10"/>
      <c r="Y81" s="10"/>
    </row>
    <row r="82" spans="1:25" x14ac:dyDescent="0.45">
      <c r="A82" s="10"/>
      <c r="B82" s="10"/>
      <c r="C82" s="10"/>
      <c r="D82" s="10"/>
      <c r="E82" s="10"/>
      <c r="F82" s="10"/>
      <c r="G82" s="10"/>
      <c r="H82" s="10"/>
      <c r="I82" s="10"/>
      <c r="J82" s="10"/>
      <c r="K82" s="10"/>
      <c r="L82" s="10"/>
      <c r="M82" s="10"/>
      <c r="N82" s="10"/>
      <c r="O82" s="10"/>
      <c r="P82" s="10"/>
      <c r="Q82" s="10"/>
      <c r="R82" s="10"/>
      <c r="S82" s="10"/>
      <c r="T82" s="10"/>
      <c r="U82" s="10"/>
      <c r="V82" s="10"/>
      <c r="W82" s="10"/>
      <c r="X82" s="10"/>
      <c r="Y82" s="10"/>
    </row>
    <row r="83" spans="1:25" x14ac:dyDescent="0.45">
      <c r="A83" s="10"/>
      <c r="B83" s="10"/>
      <c r="C83" s="10"/>
      <c r="D83" s="10"/>
      <c r="E83" s="10"/>
      <c r="F83" s="10"/>
      <c r="G83" s="10"/>
      <c r="H83" s="10"/>
      <c r="I83" s="10"/>
      <c r="J83" s="10"/>
      <c r="K83" s="10"/>
      <c r="L83" s="10"/>
      <c r="M83" s="10"/>
      <c r="N83" s="10"/>
      <c r="O83" s="10"/>
      <c r="P83" s="10"/>
      <c r="Q83" s="10"/>
      <c r="R83" s="10"/>
      <c r="S83" s="10"/>
      <c r="T83" s="10"/>
      <c r="U83" s="10"/>
      <c r="V83" s="10"/>
      <c r="W83" s="10"/>
      <c r="X83" s="10"/>
      <c r="Y83" s="10"/>
    </row>
    <row r="84" spans="1:25" x14ac:dyDescent="0.45">
      <c r="A84" s="10"/>
      <c r="B84" s="10"/>
      <c r="C84" s="10"/>
      <c r="D84" s="10"/>
      <c r="E84" s="10"/>
      <c r="F84" s="10"/>
      <c r="G84" s="10"/>
      <c r="H84" s="10"/>
      <c r="I84" s="10"/>
      <c r="J84" s="10"/>
      <c r="K84" s="10"/>
      <c r="L84" s="10"/>
      <c r="M84" s="10"/>
      <c r="N84" s="10"/>
      <c r="O84" s="10"/>
      <c r="P84" s="10"/>
      <c r="Q84" s="10"/>
      <c r="R84" s="10"/>
      <c r="S84" s="10"/>
      <c r="T84" s="10"/>
      <c r="U84" s="10"/>
      <c r="V84" s="10"/>
      <c r="W84" s="10"/>
      <c r="X84" s="10"/>
      <c r="Y84" s="10"/>
    </row>
    <row r="85" spans="1:25" x14ac:dyDescent="0.45">
      <c r="A85" s="10"/>
      <c r="B85" s="10"/>
      <c r="C85" s="10"/>
      <c r="D85" s="10"/>
      <c r="E85" s="10"/>
      <c r="F85" s="10"/>
      <c r="G85" s="10"/>
      <c r="H85" s="10"/>
      <c r="I85" s="10"/>
      <c r="J85" s="10"/>
      <c r="K85" s="10"/>
      <c r="L85" s="10"/>
      <c r="M85" s="10"/>
      <c r="N85" s="10"/>
      <c r="O85" s="10"/>
      <c r="P85" s="10"/>
      <c r="Q85" s="10"/>
      <c r="R85" s="10"/>
      <c r="S85" s="10"/>
      <c r="T85" s="10"/>
      <c r="U85" s="10"/>
      <c r="V85" s="10"/>
      <c r="W85" s="10"/>
      <c r="X85" s="10"/>
      <c r="Y85" s="10"/>
    </row>
    <row r="86" spans="1:25" x14ac:dyDescent="0.45">
      <c r="A86" s="10"/>
      <c r="B86" s="10"/>
      <c r="C86" s="10"/>
      <c r="D86" s="10"/>
      <c r="E86" s="10"/>
      <c r="F86" s="10"/>
      <c r="G86" s="10"/>
      <c r="H86" s="10"/>
      <c r="I86" s="10"/>
      <c r="J86" s="10"/>
      <c r="K86" s="10"/>
      <c r="L86" s="10"/>
      <c r="M86" s="10"/>
      <c r="N86" s="10"/>
      <c r="O86" s="10"/>
      <c r="P86" s="10"/>
      <c r="Q86" s="10"/>
      <c r="R86" s="10"/>
      <c r="S86" s="10"/>
      <c r="T86" s="10"/>
      <c r="U86" s="10"/>
      <c r="V86" s="10"/>
      <c r="W86" s="10"/>
      <c r="X86" s="10"/>
      <c r="Y86" s="10"/>
    </row>
    <row r="87" spans="1:25" x14ac:dyDescent="0.45">
      <c r="A87" s="10"/>
      <c r="B87" s="10"/>
      <c r="C87" s="10"/>
      <c r="D87" s="10"/>
      <c r="E87" s="10"/>
      <c r="F87" s="10"/>
      <c r="G87" s="10"/>
      <c r="H87" s="10"/>
      <c r="I87" s="10"/>
      <c r="J87" s="10"/>
      <c r="K87" s="10"/>
      <c r="L87" s="10"/>
      <c r="M87" s="10"/>
      <c r="N87" s="10"/>
      <c r="O87" s="10"/>
      <c r="P87" s="10"/>
      <c r="Q87" s="10"/>
      <c r="R87" s="10"/>
      <c r="S87" s="10"/>
      <c r="T87" s="10"/>
      <c r="U87" s="10"/>
      <c r="V87" s="10"/>
      <c r="W87" s="10"/>
      <c r="X87" s="10"/>
      <c r="Y87" s="10"/>
    </row>
    <row r="88" spans="1:25" x14ac:dyDescent="0.45">
      <c r="A88" s="10"/>
      <c r="B88" s="10"/>
      <c r="C88" s="10"/>
      <c r="D88" s="10"/>
      <c r="E88" s="10"/>
      <c r="F88" s="10"/>
      <c r="G88" s="10"/>
      <c r="H88" s="10"/>
      <c r="I88" s="10"/>
      <c r="J88" s="10"/>
      <c r="K88" s="10"/>
      <c r="L88" s="10"/>
      <c r="M88" s="10"/>
      <c r="N88" s="10"/>
      <c r="O88" s="10"/>
      <c r="P88" s="10"/>
      <c r="Q88" s="10"/>
      <c r="R88" s="10"/>
      <c r="S88" s="10"/>
      <c r="T88" s="10"/>
      <c r="U88" s="10"/>
      <c r="V88" s="10"/>
      <c r="W88" s="10"/>
      <c r="X88" s="10"/>
      <c r="Y88" s="10"/>
    </row>
    <row r="89" spans="1:25" x14ac:dyDescent="0.45">
      <c r="A89" s="10"/>
      <c r="B89" s="10"/>
      <c r="C89" s="10"/>
      <c r="D89" s="10"/>
      <c r="E89" s="10"/>
      <c r="F89" s="10"/>
      <c r="G89" s="10"/>
      <c r="H89" s="10"/>
      <c r="I89" s="10"/>
      <c r="J89" s="10"/>
      <c r="K89" s="10"/>
      <c r="L89" s="10"/>
      <c r="M89" s="10"/>
      <c r="N89" s="10"/>
      <c r="O89" s="10"/>
      <c r="P89" s="10"/>
      <c r="Q89" s="10"/>
      <c r="R89" s="10"/>
      <c r="S89" s="10"/>
      <c r="T89" s="10"/>
      <c r="U89" s="10"/>
      <c r="V89" s="10"/>
      <c r="W89" s="10"/>
      <c r="X89" s="10"/>
      <c r="Y89" s="10"/>
    </row>
    <row r="90" spans="1:25" x14ac:dyDescent="0.45">
      <c r="A90" s="10"/>
      <c r="B90" s="10"/>
      <c r="C90" s="10"/>
      <c r="D90" s="10"/>
      <c r="E90" s="10"/>
      <c r="F90" s="10"/>
      <c r="G90" s="10"/>
      <c r="H90" s="10"/>
      <c r="I90" s="10"/>
      <c r="J90" s="10"/>
      <c r="K90" s="10"/>
      <c r="L90" s="10"/>
      <c r="M90" s="10"/>
      <c r="N90" s="10"/>
      <c r="O90" s="10"/>
      <c r="P90" s="10"/>
      <c r="Q90" s="10"/>
      <c r="R90" s="10"/>
      <c r="S90" s="10"/>
      <c r="T90" s="10"/>
      <c r="U90" s="10"/>
      <c r="V90" s="10"/>
      <c r="W90" s="10"/>
      <c r="X90" s="10"/>
      <c r="Y90" s="10"/>
    </row>
    <row r="91" spans="1:25" x14ac:dyDescent="0.45">
      <c r="A91" s="10"/>
      <c r="B91" s="10"/>
      <c r="C91" s="10"/>
      <c r="D91" s="10"/>
      <c r="E91" s="10"/>
      <c r="F91" s="10"/>
      <c r="G91" s="10"/>
      <c r="H91" s="10"/>
      <c r="I91" s="10"/>
      <c r="J91" s="10"/>
      <c r="K91" s="10"/>
      <c r="L91" s="10"/>
      <c r="M91" s="10"/>
      <c r="N91" s="10"/>
      <c r="O91" s="10"/>
      <c r="P91" s="10"/>
      <c r="Q91" s="10"/>
      <c r="R91" s="10"/>
      <c r="S91" s="10"/>
      <c r="T91" s="10"/>
      <c r="U91" s="10"/>
      <c r="V91" s="10"/>
      <c r="W91" s="10"/>
      <c r="X91" s="10"/>
      <c r="Y91" s="10"/>
    </row>
    <row r="92" spans="1:25" x14ac:dyDescent="0.45">
      <c r="A92" s="10"/>
      <c r="B92" s="10"/>
      <c r="C92" s="10"/>
      <c r="D92" s="10"/>
      <c r="E92" s="10"/>
      <c r="F92" s="10"/>
      <c r="G92" s="10"/>
      <c r="H92" s="10"/>
      <c r="I92" s="10"/>
      <c r="J92" s="10"/>
      <c r="K92" s="10"/>
      <c r="L92" s="10"/>
      <c r="M92" s="10"/>
      <c r="N92" s="10"/>
      <c r="O92" s="10"/>
      <c r="P92" s="10"/>
      <c r="Q92" s="10"/>
      <c r="R92" s="10"/>
      <c r="S92" s="10"/>
      <c r="T92" s="10"/>
      <c r="U92" s="10"/>
      <c r="V92" s="10"/>
      <c r="W92" s="10"/>
      <c r="X92" s="10"/>
      <c r="Y92" s="10"/>
    </row>
    <row r="93" spans="1:25" x14ac:dyDescent="0.45">
      <c r="A93" s="10"/>
      <c r="B93" s="10"/>
      <c r="C93" s="10"/>
      <c r="D93" s="10"/>
      <c r="E93" s="10"/>
      <c r="F93" s="10"/>
      <c r="G93" s="10"/>
      <c r="H93" s="10"/>
      <c r="I93" s="10"/>
      <c r="J93" s="10"/>
      <c r="K93" s="10"/>
      <c r="L93" s="10"/>
      <c r="M93" s="10"/>
      <c r="N93" s="10"/>
      <c r="O93" s="10"/>
      <c r="P93" s="10"/>
      <c r="Q93" s="10"/>
      <c r="R93" s="10"/>
      <c r="S93" s="10"/>
      <c r="T93" s="10"/>
      <c r="U93" s="10"/>
      <c r="V93" s="10"/>
      <c r="W93" s="10"/>
      <c r="X93" s="10"/>
      <c r="Y93" s="10"/>
    </row>
    <row r="94" spans="1:25" x14ac:dyDescent="0.45">
      <c r="A94" s="10"/>
      <c r="B94" s="10"/>
      <c r="C94" s="10"/>
      <c r="D94" s="10"/>
      <c r="E94" s="10"/>
      <c r="F94" s="10"/>
      <c r="G94" s="10"/>
      <c r="H94" s="10"/>
      <c r="I94" s="10"/>
      <c r="J94" s="10"/>
      <c r="K94" s="10"/>
      <c r="L94" s="10"/>
      <c r="M94" s="10"/>
      <c r="N94" s="10"/>
      <c r="O94" s="10"/>
      <c r="P94" s="10"/>
      <c r="Q94" s="10"/>
      <c r="R94" s="10"/>
      <c r="S94" s="10"/>
      <c r="T94" s="10"/>
      <c r="U94" s="10"/>
      <c r="V94" s="10"/>
      <c r="W94" s="10"/>
      <c r="X94" s="10"/>
      <c r="Y94" s="10"/>
    </row>
    <row r="95" spans="1:25" x14ac:dyDescent="0.45">
      <c r="A95" s="10"/>
      <c r="B95" s="10"/>
      <c r="C95" s="10"/>
      <c r="D95" s="10"/>
      <c r="E95" s="10"/>
      <c r="F95" s="10"/>
      <c r="G95" s="10"/>
      <c r="H95" s="10"/>
      <c r="I95" s="10"/>
      <c r="J95" s="10"/>
      <c r="K95" s="10"/>
      <c r="L95" s="10"/>
      <c r="M95" s="10"/>
      <c r="N95" s="10"/>
      <c r="O95" s="10"/>
      <c r="P95" s="10"/>
      <c r="Q95" s="10"/>
      <c r="R95" s="10"/>
      <c r="S95" s="10"/>
      <c r="T95" s="10"/>
      <c r="U95" s="10"/>
      <c r="V95" s="10"/>
      <c r="W95" s="10"/>
      <c r="X95" s="10"/>
      <c r="Y95" s="10"/>
    </row>
    <row r="96" spans="1:25" x14ac:dyDescent="0.45">
      <c r="A96" s="11"/>
      <c r="B96" s="11"/>
      <c r="C96" s="11"/>
      <c r="D96" s="11"/>
      <c r="E96" s="11"/>
      <c r="F96" s="11"/>
      <c r="G96" s="11"/>
      <c r="H96" s="11"/>
      <c r="I96" s="11"/>
      <c r="J96" s="11"/>
      <c r="K96" s="11"/>
      <c r="L96" s="11"/>
      <c r="M96" s="11"/>
      <c r="N96" s="11"/>
      <c r="O96" s="11"/>
      <c r="P96" s="11"/>
      <c r="Q96" s="11"/>
      <c r="R96" s="11"/>
      <c r="S96" s="11"/>
      <c r="T96" s="11"/>
      <c r="U96" s="11"/>
      <c r="V96" s="11"/>
      <c r="W96" s="11"/>
      <c r="X96" s="11"/>
      <c r="Y96" s="11"/>
    </row>
    <row r="97" spans="1:25" x14ac:dyDescent="0.45">
      <c r="A97" s="11"/>
      <c r="B97" s="11"/>
      <c r="C97" s="11"/>
      <c r="D97" s="11"/>
      <c r="E97" s="11"/>
      <c r="F97" s="11"/>
      <c r="G97" s="11"/>
      <c r="H97" s="11"/>
      <c r="I97" s="11"/>
      <c r="J97" s="11"/>
      <c r="K97" s="11"/>
      <c r="L97" s="11"/>
      <c r="M97" s="11"/>
      <c r="N97" s="11"/>
      <c r="O97" s="11"/>
      <c r="P97" s="11"/>
      <c r="Q97" s="11"/>
      <c r="R97" s="11"/>
      <c r="S97" s="11"/>
      <c r="T97" s="11"/>
      <c r="U97" s="11"/>
      <c r="V97" s="11"/>
      <c r="W97" s="11"/>
      <c r="X97" s="11"/>
      <c r="Y97" s="11"/>
    </row>
    <row r="98" spans="1:25" x14ac:dyDescent="0.45">
      <c r="A98" s="11"/>
      <c r="B98" s="11"/>
      <c r="C98" s="11"/>
      <c r="D98" s="11"/>
      <c r="E98" s="11"/>
      <c r="F98" s="11"/>
      <c r="G98" s="11"/>
      <c r="H98" s="11"/>
      <c r="I98" s="11"/>
      <c r="J98" s="11"/>
      <c r="K98" s="11"/>
      <c r="L98" s="11"/>
      <c r="M98" s="11"/>
      <c r="N98" s="11"/>
      <c r="O98" s="11"/>
      <c r="P98" s="11"/>
      <c r="Q98" s="11"/>
      <c r="R98" s="11"/>
      <c r="S98" s="11"/>
      <c r="T98" s="11"/>
      <c r="U98" s="11"/>
      <c r="V98" s="11"/>
      <c r="W98" s="11"/>
      <c r="X98" s="11"/>
      <c r="Y98" s="11"/>
    </row>
    <row r="99" spans="1:25" x14ac:dyDescent="0.45">
      <c r="A99" s="11"/>
      <c r="B99" s="11"/>
      <c r="C99" s="11"/>
      <c r="D99" s="11"/>
      <c r="E99" s="11"/>
      <c r="F99" s="11"/>
      <c r="G99" s="11"/>
      <c r="H99" s="11"/>
      <c r="I99" s="11"/>
      <c r="J99" s="11"/>
      <c r="K99" s="11"/>
      <c r="L99" s="11"/>
      <c r="M99" s="11"/>
      <c r="N99" s="11"/>
      <c r="O99" s="11"/>
      <c r="P99" s="11"/>
      <c r="Q99" s="11"/>
      <c r="R99" s="11"/>
      <c r="S99" s="11"/>
      <c r="T99" s="11"/>
      <c r="U99" s="11"/>
      <c r="V99" s="11"/>
      <c r="W99" s="11"/>
      <c r="X99" s="11"/>
      <c r="Y99" s="11"/>
    </row>
    <row r="100" spans="1:25" x14ac:dyDescent="0.45">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row>
    <row r="101" spans="1:25" x14ac:dyDescent="0.45">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row>
    <row r="102" spans="1:25" x14ac:dyDescent="0.45">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row>
    <row r="103" spans="1:25" x14ac:dyDescent="0.45">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row>
    <row r="104" spans="1:25" x14ac:dyDescent="0.45">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row>
    <row r="105" spans="1:25" x14ac:dyDescent="0.4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row>
    <row r="106" spans="1:25" x14ac:dyDescent="0.45">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row>
    <row r="107" spans="1:25" x14ac:dyDescent="0.45">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row>
    <row r="108" spans="1:25" x14ac:dyDescent="0.45">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row>
    <row r="109" spans="1:25" x14ac:dyDescent="0.45">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row>
    <row r="110" spans="1:25" x14ac:dyDescent="0.45">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row>
  </sheetData>
  <conditionalFormatting sqref="B22:G28">
    <cfRule type="dataBar" priority="1">
      <dataBar>
        <cfvo type="min"/>
        <cfvo type="max"/>
        <color rgb="FF008AEF"/>
      </dataBar>
      <extLst>
        <ext xmlns:x14="http://schemas.microsoft.com/office/spreadsheetml/2009/9/main" uri="{B025F937-C7B1-47D3-B67F-A62EFF666E3E}">
          <x14:id>{5E58B77A-9268-4353-8627-6CFD3F847261}</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5E58B77A-9268-4353-8627-6CFD3F847261}">
            <x14:dataBar minLength="0" maxLength="100" gradient="0">
              <x14:cfvo type="autoMin"/>
              <x14:cfvo type="autoMax"/>
              <x14:negativeFillColor rgb="FFFF0000"/>
              <x14:axisColor rgb="FF000000"/>
            </x14:dataBar>
          </x14:cfRule>
          <xm:sqref>B22:G28</xm:sqref>
        </x14:conditionalFormatting>
      </x14:conditionalFormattings>
    </ex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6E65C-8437-46B1-AB7D-2B42A9DD998D}">
  <dimension ref="A1:I121"/>
  <sheetViews>
    <sheetView topLeftCell="A93" workbookViewId="0">
      <selection activeCell="K5" sqref="K5"/>
    </sheetView>
  </sheetViews>
  <sheetFormatPr defaultRowHeight="14.25" x14ac:dyDescent="0.45"/>
  <cols>
    <col min="1" max="1" width="13.59765625" bestFit="1" customWidth="1"/>
    <col min="3" max="3" width="10.9296875" customWidth="1"/>
    <col min="11" max="11" width="9.73046875" bestFit="1" customWidth="1"/>
  </cols>
  <sheetData>
    <row r="1" spans="1:9" x14ac:dyDescent="0.45">
      <c r="A1" s="2" t="s">
        <v>0</v>
      </c>
      <c r="B1" s="2" t="s">
        <v>1</v>
      </c>
      <c r="C1" s="2" t="s">
        <v>2</v>
      </c>
      <c r="D1" s="2" t="s">
        <v>3</v>
      </c>
      <c r="E1" s="2" t="s">
        <v>4</v>
      </c>
      <c r="F1" s="2" t="s">
        <v>5</v>
      </c>
      <c r="G1" s="2" t="s">
        <v>6</v>
      </c>
      <c r="H1" s="2" t="s">
        <v>25</v>
      </c>
      <c r="I1" s="2" t="s">
        <v>26</v>
      </c>
    </row>
    <row r="2" spans="1:9" x14ac:dyDescent="0.45">
      <c r="A2" s="1">
        <v>45710</v>
      </c>
      <c r="B2" t="s">
        <v>7</v>
      </c>
      <c r="C2" t="s">
        <v>8</v>
      </c>
      <c r="D2" t="s">
        <v>9</v>
      </c>
      <c r="E2">
        <v>8429</v>
      </c>
      <c r="F2">
        <v>15</v>
      </c>
      <c r="G2">
        <v>15000</v>
      </c>
      <c r="H2">
        <f>F2*G2</f>
        <v>225000</v>
      </c>
      <c r="I2">
        <f>H2-E2</f>
        <v>216571</v>
      </c>
    </row>
    <row r="3" spans="1:9" x14ac:dyDescent="0.45">
      <c r="A3" s="1">
        <v>45711</v>
      </c>
      <c r="B3" t="s">
        <v>10</v>
      </c>
      <c r="C3" t="s">
        <v>11</v>
      </c>
      <c r="D3" t="s">
        <v>12</v>
      </c>
      <c r="E3">
        <v>8429</v>
      </c>
      <c r="F3">
        <v>18</v>
      </c>
      <c r="G3">
        <v>120000</v>
      </c>
      <c r="H3">
        <f t="shared" ref="H3:H66" si="0">F3*G3</f>
        <v>2160000</v>
      </c>
      <c r="I3">
        <f t="shared" ref="I3:I66" si="1">H3-E3</f>
        <v>2151571</v>
      </c>
    </row>
    <row r="4" spans="1:9" x14ac:dyDescent="0.45">
      <c r="A4" s="1">
        <v>45768</v>
      </c>
      <c r="B4" t="s">
        <v>13</v>
      </c>
      <c r="C4" t="s">
        <v>14</v>
      </c>
      <c r="D4" t="s">
        <v>15</v>
      </c>
      <c r="E4">
        <v>8429</v>
      </c>
      <c r="F4">
        <v>10</v>
      </c>
      <c r="G4">
        <v>5000</v>
      </c>
      <c r="H4">
        <f t="shared" si="0"/>
        <v>50000</v>
      </c>
      <c r="I4">
        <f t="shared" si="1"/>
        <v>41571</v>
      </c>
    </row>
    <row r="5" spans="1:9" x14ac:dyDescent="0.45">
      <c r="A5" s="1">
        <v>45710</v>
      </c>
      <c r="B5" t="s">
        <v>13</v>
      </c>
      <c r="C5" t="s">
        <v>8</v>
      </c>
      <c r="D5" t="s">
        <v>16</v>
      </c>
      <c r="E5">
        <v>7779</v>
      </c>
      <c r="F5">
        <v>12</v>
      </c>
      <c r="G5">
        <v>80000</v>
      </c>
      <c r="H5">
        <f t="shared" si="0"/>
        <v>960000</v>
      </c>
      <c r="I5">
        <f t="shared" si="1"/>
        <v>952221</v>
      </c>
    </row>
    <row r="6" spans="1:9" x14ac:dyDescent="0.45">
      <c r="A6" s="1">
        <v>45768</v>
      </c>
      <c r="B6" t="s">
        <v>10</v>
      </c>
      <c r="C6" t="s">
        <v>17</v>
      </c>
      <c r="D6" t="s">
        <v>15</v>
      </c>
      <c r="E6">
        <v>7779</v>
      </c>
      <c r="F6">
        <v>10</v>
      </c>
      <c r="G6">
        <v>15000</v>
      </c>
      <c r="H6">
        <f t="shared" si="0"/>
        <v>150000</v>
      </c>
      <c r="I6">
        <f t="shared" si="1"/>
        <v>142221</v>
      </c>
    </row>
    <row r="7" spans="1:9" x14ac:dyDescent="0.45">
      <c r="A7" s="1">
        <v>45710</v>
      </c>
      <c r="B7" t="s">
        <v>10</v>
      </c>
      <c r="C7" t="s">
        <v>18</v>
      </c>
      <c r="D7" t="s">
        <v>19</v>
      </c>
      <c r="E7">
        <v>7130</v>
      </c>
      <c r="F7">
        <v>12</v>
      </c>
      <c r="G7">
        <v>5000</v>
      </c>
      <c r="H7">
        <f t="shared" si="0"/>
        <v>60000</v>
      </c>
      <c r="I7">
        <f t="shared" si="1"/>
        <v>52870</v>
      </c>
    </row>
    <row r="8" spans="1:9" x14ac:dyDescent="0.45">
      <c r="A8" s="1">
        <v>45765</v>
      </c>
      <c r="B8" t="s">
        <v>10</v>
      </c>
      <c r="C8" t="s">
        <v>11</v>
      </c>
      <c r="D8" t="s">
        <v>9</v>
      </c>
      <c r="E8">
        <v>7130</v>
      </c>
      <c r="F8">
        <v>19</v>
      </c>
      <c r="G8">
        <v>10000</v>
      </c>
      <c r="H8">
        <f t="shared" si="0"/>
        <v>190000</v>
      </c>
      <c r="I8">
        <f t="shared" si="1"/>
        <v>182870</v>
      </c>
    </row>
    <row r="9" spans="1:9" x14ac:dyDescent="0.45">
      <c r="A9" s="1">
        <v>45708</v>
      </c>
      <c r="B9" t="s">
        <v>20</v>
      </c>
      <c r="C9" t="s">
        <v>14</v>
      </c>
      <c r="D9" t="s">
        <v>15</v>
      </c>
      <c r="E9">
        <v>6480</v>
      </c>
      <c r="F9">
        <v>7</v>
      </c>
      <c r="G9">
        <v>350000</v>
      </c>
      <c r="H9">
        <f t="shared" si="0"/>
        <v>2450000</v>
      </c>
      <c r="I9">
        <f t="shared" si="1"/>
        <v>2443520</v>
      </c>
    </row>
    <row r="10" spans="1:9" x14ac:dyDescent="0.45">
      <c r="A10" s="1">
        <v>45764</v>
      </c>
      <c r="B10" t="s">
        <v>10</v>
      </c>
      <c r="C10" t="s">
        <v>21</v>
      </c>
      <c r="D10" t="s">
        <v>12</v>
      </c>
      <c r="E10">
        <v>6480</v>
      </c>
      <c r="F10">
        <v>1</v>
      </c>
      <c r="G10">
        <v>350000</v>
      </c>
      <c r="H10">
        <f t="shared" si="0"/>
        <v>350000</v>
      </c>
      <c r="I10">
        <f t="shared" si="1"/>
        <v>343520</v>
      </c>
    </row>
    <row r="11" spans="1:9" x14ac:dyDescent="0.45">
      <c r="A11" s="1">
        <v>45708</v>
      </c>
      <c r="B11" t="s">
        <v>20</v>
      </c>
      <c r="C11" t="s">
        <v>17</v>
      </c>
      <c r="D11" t="s">
        <v>15</v>
      </c>
      <c r="E11">
        <v>5830</v>
      </c>
      <c r="F11">
        <v>4</v>
      </c>
      <c r="G11">
        <v>350000</v>
      </c>
      <c r="H11">
        <f t="shared" si="0"/>
        <v>1400000</v>
      </c>
      <c r="I11">
        <f t="shared" si="1"/>
        <v>1394170</v>
      </c>
    </row>
    <row r="12" spans="1:9" x14ac:dyDescent="0.45">
      <c r="A12" s="1">
        <v>45763</v>
      </c>
      <c r="B12" t="s">
        <v>10</v>
      </c>
      <c r="C12" t="s">
        <v>18</v>
      </c>
      <c r="D12" t="s">
        <v>22</v>
      </c>
      <c r="E12">
        <v>5830</v>
      </c>
      <c r="F12">
        <v>2</v>
      </c>
      <c r="G12">
        <v>10000</v>
      </c>
      <c r="H12">
        <f t="shared" si="0"/>
        <v>20000</v>
      </c>
      <c r="I12">
        <f t="shared" si="1"/>
        <v>14170</v>
      </c>
    </row>
    <row r="13" spans="1:9" x14ac:dyDescent="0.45">
      <c r="A13" s="1">
        <v>45707</v>
      </c>
      <c r="B13" t="s">
        <v>13</v>
      </c>
      <c r="C13" t="s">
        <v>8</v>
      </c>
      <c r="D13" t="s">
        <v>16</v>
      </c>
      <c r="E13">
        <v>5181</v>
      </c>
      <c r="F13">
        <v>11</v>
      </c>
      <c r="G13">
        <v>15000</v>
      </c>
      <c r="H13">
        <f t="shared" si="0"/>
        <v>165000</v>
      </c>
      <c r="I13">
        <f t="shared" si="1"/>
        <v>159819</v>
      </c>
    </row>
    <row r="14" spans="1:9" x14ac:dyDescent="0.45">
      <c r="A14" s="1">
        <v>45761</v>
      </c>
      <c r="B14" t="s">
        <v>10</v>
      </c>
      <c r="C14" t="s">
        <v>8</v>
      </c>
      <c r="D14" t="s">
        <v>19</v>
      </c>
      <c r="E14">
        <v>5181</v>
      </c>
      <c r="F14">
        <v>4</v>
      </c>
      <c r="G14">
        <v>80000</v>
      </c>
      <c r="H14">
        <f t="shared" si="0"/>
        <v>320000</v>
      </c>
      <c r="I14">
        <f t="shared" si="1"/>
        <v>314819</v>
      </c>
    </row>
    <row r="15" spans="1:9" x14ac:dyDescent="0.45">
      <c r="A15" s="1">
        <v>45706</v>
      </c>
      <c r="B15" t="s">
        <v>10</v>
      </c>
      <c r="C15" t="s">
        <v>17</v>
      </c>
      <c r="D15" t="s">
        <v>16</v>
      </c>
      <c r="E15">
        <v>4531</v>
      </c>
      <c r="F15">
        <v>4</v>
      </c>
      <c r="G15">
        <v>10000</v>
      </c>
      <c r="H15">
        <f t="shared" si="0"/>
        <v>40000</v>
      </c>
      <c r="I15">
        <f t="shared" si="1"/>
        <v>35469</v>
      </c>
    </row>
    <row r="16" spans="1:9" x14ac:dyDescent="0.45">
      <c r="A16" s="1">
        <v>45761</v>
      </c>
      <c r="B16" t="s">
        <v>10</v>
      </c>
      <c r="C16" t="s">
        <v>8</v>
      </c>
      <c r="D16" t="s">
        <v>12</v>
      </c>
      <c r="E16">
        <v>4531</v>
      </c>
      <c r="F16">
        <v>12</v>
      </c>
      <c r="G16">
        <v>80000</v>
      </c>
      <c r="H16">
        <f t="shared" si="0"/>
        <v>960000</v>
      </c>
      <c r="I16">
        <f t="shared" si="1"/>
        <v>955469</v>
      </c>
    </row>
    <row r="17" spans="1:9" x14ac:dyDescent="0.45">
      <c r="A17" s="1">
        <v>45705</v>
      </c>
      <c r="B17" t="s">
        <v>20</v>
      </c>
      <c r="C17" t="s">
        <v>18</v>
      </c>
      <c r="D17" t="s">
        <v>9</v>
      </c>
      <c r="E17">
        <v>3881</v>
      </c>
      <c r="F17">
        <v>13</v>
      </c>
      <c r="G17">
        <v>350000</v>
      </c>
      <c r="H17">
        <f t="shared" si="0"/>
        <v>4550000</v>
      </c>
      <c r="I17">
        <f t="shared" si="1"/>
        <v>4546119</v>
      </c>
    </row>
    <row r="18" spans="1:9" x14ac:dyDescent="0.45">
      <c r="A18" s="1">
        <v>45761</v>
      </c>
      <c r="B18" t="s">
        <v>20</v>
      </c>
      <c r="C18" t="s">
        <v>21</v>
      </c>
      <c r="D18" t="s">
        <v>16</v>
      </c>
      <c r="E18">
        <v>3881</v>
      </c>
      <c r="F18">
        <v>16</v>
      </c>
      <c r="G18">
        <v>80000</v>
      </c>
      <c r="H18">
        <f t="shared" si="0"/>
        <v>1280000</v>
      </c>
      <c r="I18">
        <f t="shared" si="1"/>
        <v>1276119</v>
      </c>
    </row>
    <row r="19" spans="1:9" x14ac:dyDescent="0.45">
      <c r="A19" s="1">
        <v>45705</v>
      </c>
      <c r="B19" t="s">
        <v>10</v>
      </c>
      <c r="C19" t="s">
        <v>18</v>
      </c>
      <c r="D19" t="s">
        <v>15</v>
      </c>
      <c r="E19">
        <v>3232</v>
      </c>
      <c r="F19">
        <v>16</v>
      </c>
      <c r="G19">
        <v>10000</v>
      </c>
      <c r="H19">
        <f t="shared" si="0"/>
        <v>160000</v>
      </c>
      <c r="I19">
        <f t="shared" si="1"/>
        <v>156768</v>
      </c>
    </row>
    <row r="20" spans="1:9" x14ac:dyDescent="0.45">
      <c r="A20" s="1">
        <v>45760</v>
      </c>
      <c r="B20" t="s">
        <v>20</v>
      </c>
      <c r="C20" t="s">
        <v>18</v>
      </c>
      <c r="D20" t="s">
        <v>19</v>
      </c>
      <c r="E20">
        <v>3232</v>
      </c>
      <c r="F20">
        <v>4</v>
      </c>
      <c r="G20">
        <v>5000</v>
      </c>
      <c r="H20">
        <f t="shared" si="0"/>
        <v>20000</v>
      </c>
      <c r="I20">
        <f t="shared" si="1"/>
        <v>16768</v>
      </c>
    </row>
    <row r="21" spans="1:9" x14ac:dyDescent="0.45">
      <c r="A21" s="1">
        <v>45678</v>
      </c>
      <c r="B21" t="s">
        <v>20</v>
      </c>
      <c r="C21" t="s">
        <v>14</v>
      </c>
      <c r="D21" t="s">
        <v>19</v>
      </c>
      <c r="E21">
        <v>2582</v>
      </c>
      <c r="F21">
        <v>9</v>
      </c>
      <c r="G21">
        <v>350000</v>
      </c>
      <c r="H21">
        <f t="shared" si="0"/>
        <v>3150000</v>
      </c>
      <c r="I21">
        <f t="shared" si="1"/>
        <v>3147418</v>
      </c>
    </row>
    <row r="22" spans="1:9" x14ac:dyDescent="0.45">
      <c r="A22" s="1">
        <v>45702</v>
      </c>
      <c r="B22" t="s">
        <v>20</v>
      </c>
      <c r="C22" t="s">
        <v>17</v>
      </c>
      <c r="D22" t="s">
        <v>12</v>
      </c>
      <c r="E22">
        <v>2582</v>
      </c>
      <c r="F22">
        <v>19</v>
      </c>
      <c r="G22">
        <v>80000</v>
      </c>
      <c r="H22">
        <f t="shared" si="0"/>
        <v>1520000</v>
      </c>
      <c r="I22">
        <f t="shared" si="1"/>
        <v>1517418</v>
      </c>
    </row>
    <row r="23" spans="1:9" x14ac:dyDescent="0.45">
      <c r="A23" s="1">
        <v>45738</v>
      </c>
      <c r="B23" t="s">
        <v>10</v>
      </c>
      <c r="C23" t="s">
        <v>17</v>
      </c>
      <c r="D23" t="s">
        <v>16</v>
      </c>
      <c r="E23">
        <v>2582</v>
      </c>
      <c r="F23">
        <v>19</v>
      </c>
      <c r="G23">
        <v>5000</v>
      </c>
      <c r="H23">
        <f t="shared" si="0"/>
        <v>95000</v>
      </c>
      <c r="I23">
        <f t="shared" si="1"/>
        <v>92418</v>
      </c>
    </row>
    <row r="24" spans="1:9" x14ac:dyDescent="0.45">
      <c r="A24" s="1">
        <v>45760</v>
      </c>
      <c r="B24" t="s">
        <v>20</v>
      </c>
      <c r="C24" t="s">
        <v>8</v>
      </c>
      <c r="D24" t="s">
        <v>16</v>
      </c>
      <c r="E24">
        <v>2582</v>
      </c>
      <c r="F24">
        <v>17</v>
      </c>
      <c r="G24">
        <v>5000</v>
      </c>
      <c r="H24">
        <f t="shared" si="0"/>
        <v>85000</v>
      </c>
      <c r="I24">
        <f t="shared" si="1"/>
        <v>82418</v>
      </c>
    </row>
    <row r="25" spans="1:9" x14ac:dyDescent="0.45">
      <c r="A25" s="1">
        <v>45779</v>
      </c>
      <c r="B25" t="s">
        <v>7</v>
      </c>
      <c r="C25" t="s">
        <v>11</v>
      </c>
      <c r="D25" t="s">
        <v>12</v>
      </c>
      <c r="E25">
        <v>2582</v>
      </c>
      <c r="F25">
        <v>7</v>
      </c>
      <c r="G25">
        <v>5000</v>
      </c>
      <c r="H25">
        <f t="shared" si="0"/>
        <v>35000</v>
      </c>
      <c r="I25">
        <f t="shared" si="1"/>
        <v>32418</v>
      </c>
    </row>
    <row r="26" spans="1:9" x14ac:dyDescent="0.45">
      <c r="A26" s="1">
        <v>45803</v>
      </c>
      <c r="B26" t="s">
        <v>10</v>
      </c>
      <c r="C26" t="s">
        <v>17</v>
      </c>
      <c r="D26" t="s">
        <v>15</v>
      </c>
      <c r="E26">
        <v>2582</v>
      </c>
      <c r="F26">
        <v>12</v>
      </c>
      <c r="G26">
        <v>80000</v>
      </c>
      <c r="H26">
        <f t="shared" si="0"/>
        <v>960000</v>
      </c>
      <c r="I26">
        <f t="shared" si="1"/>
        <v>957418</v>
      </c>
    </row>
    <row r="27" spans="1:9" x14ac:dyDescent="0.45">
      <c r="A27" s="1">
        <v>45819</v>
      </c>
      <c r="B27" t="s">
        <v>10</v>
      </c>
      <c r="C27" t="s">
        <v>21</v>
      </c>
      <c r="D27" t="s">
        <v>22</v>
      </c>
      <c r="E27">
        <v>2582</v>
      </c>
      <c r="F27">
        <v>3</v>
      </c>
      <c r="G27">
        <v>80000</v>
      </c>
      <c r="H27">
        <f t="shared" si="0"/>
        <v>240000</v>
      </c>
      <c r="I27">
        <f t="shared" si="1"/>
        <v>237418</v>
      </c>
    </row>
    <row r="28" spans="1:9" x14ac:dyDescent="0.45">
      <c r="A28" s="1">
        <v>45829</v>
      </c>
      <c r="B28" t="s">
        <v>20</v>
      </c>
      <c r="C28" t="s">
        <v>18</v>
      </c>
      <c r="D28" t="s">
        <v>9</v>
      </c>
      <c r="E28">
        <v>2582</v>
      </c>
      <c r="F28">
        <v>5</v>
      </c>
      <c r="G28">
        <v>120000</v>
      </c>
      <c r="H28">
        <f t="shared" si="0"/>
        <v>600000</v>
      </c>
      <c r="I28">
        <f t="shared" si="1"/>
        <v>597418</v>
      </c>
    </row>
    <row r="29" spans="1:9" x14ac:dyDescent="0.45">
      <c r="A29" s="1">
        <v>45675</v>
      </c>
      <c r="B29" t="s">
        <v>7</v>
      </c>
      <c r="C29" t="s">
        <v>8</v>
      </c>
      <c r="D29" t="s">
        <v>15</v>
      </c>
      <c r="E29">
        <v>1932</v>
      </c>
      <c r="F29">
        <v>4</v>
      </c>
      <c r="G29">
        <v>120000</v>
      </c>
      <c r="H29">
        <f t="shared" si="0"/>
        <v>480000</v>
      </c>
      <c r="I29">
        <f t="shared" si="1"/>
        <v>478068</v>
      </c>
    </row>
    <row r="30" spans="1:9" x14ac:dyDescent="0.45">
      <c r="A30" s="1">
        <v>45701</v>
      </c>
      <c r="B30" t="s">
        <v>13</v>
      </c>
      <c r="C30" t="s">
        <v>8</v>
      </c>
      <c r="D30" t="s">
        <v>9</v>
      </c>
      <c r="E30">
        <v>1932</v>
      </c>
      <c r="F30">
        <v>3</v>
      </c>
      <c r="G30">
        <v>120000</v>
      </c>
      <c r="H30">
        <f t="shared" si="0"/>
        <v>360000</v>
      </c>
      <c r="I30">
        <f t="shared" si="1"/>
        <v>358068</v>
      </c>
    </row>
    <row r="31" spans="1:9" x14ac:dyDescent="0.45">
      <c r="A31" s="1">
        <v>45738</v>
      </c>
      <c r="B31" t="s">
        <v>7</v>
      </c>
      <c r="C31" t="s">
        <v>21</v>
      </c>
      <c r="D31" t="s">
        <v>19</v>
      </c>
      <c r="E31">
        <v>1932</v>
      </c>
      <c r="F31">
        <v>9</v>
      </c>
      <c r="G31">
        <v>5000</v>
      </c>
      <c r="H31">
        <f t="shared" si="0"/>
        <v>45000</v>
      </c>
      <c r="I31">
        <f t="shared" si="1"/>
        <v>43068</v>
      </c>
    </row>
    <row r="32" spans="1:9" x14ac:dyDescent="0.45">
      <c r="A32" s="1">
        <v>45758</v>
      </c>
      <c r="B32" t="s">
        <v>10</v>
      </c>
      <c r="C32" t="s">
        <v>8</v>
      </c>
      <c r="D32" t="s">
        <v>16</v>
      </c>
      <c r="E32">
        <v>1932</v>
      </c>
      <c r="F32">
        <v>9</v>
      </c>
      <c r="G32">
        <v>120000</v>
      </c>
      <c r="H32">
        <f t="shared" si="0"/>
        <v>1080000</v>
      </c>
      <c r="I32">
        <f t="shared" si="1"/>
        <v>1078068</v>
      </c>
    </row>
    <row r="33" spans="1:9" x14ac:dyDescent="0.45">
      <c r="A33" s="1">
        <v>45774</v>
      </c>
      <c r="B33" t="s">
        <v>10</v>
      </c>
      <c r="C33" t="s">
        <v>8</v>
      </c>
      <c r="D33" t="s">
        <v>16</v>
      </c>
      <c r="E33">
        <v>1932</v>
      </c>
      <c r="F33">
        <v>18</v>
      </c>
      <c r="G33">
        <v>5000</v>
      </c>
      <c r="H33">
        <f t="shared" si="0"/>
        <v>90000</v>
      </c>
      <c r="I33">
        <f t="shared" si="1"/>
        <v>88068</v>
      </c>
    </row>
    <row r="34" spans="1:9" x14ac:dyDescent="0.45">
      <c r="A34" s="1">
        <v>45796</v>
      </c>
      <c r="B34" t="s">
        <v>7</v>
      </c>
      <c r="C34" t="s">
        <v>11</v>
      </c>
      <c r="D34" t="s">
        <v>9</v>
      </c>
      <c r="E34">
        <v>1932</v>
      </c>
      <c r="F34">
        <v>15</v>
      </c>
      <c r="G34">
        <v>80000</v>
      </c>
      <c r="H34">
        <f t="shared" si="0"/>
        <v>1200000</v>
      </c>
      <c r="I34">
        <f t="shared" si="1"/>
        <v>1198068</v>
      </c>
    </row>
    <row r="35" spans="1:9" x14ac:dyDescent="0.45">
      <c r="A35" s="1">
        <v>45818</v>
      </c>
      <c r="B35" t="s">
        <v>10</v>
      </c>
      <c r="C35" t="s">
        <v>21</v>
      </c>
      <c r="D35" t="s">
        <v>12</v>
      </c>
      <c r="E35">
        <v>1932</v>
      </c>
      <c r="F35">
        <v>13</v>
      </c>
      <c r="G35">
        <v>120000</v>
      </c>
      <c r="H35">
        <f t="shared" si="0"/>
        <v>1560000</v>
      </c>
      <c r="I35">
        <f t="shared" si="1"/>
        <v>1558068</v>
      </c>
    </row>
    <row r="36" spans="1:9" x14ac:dyDescent="0.45">
      <c r="A36" s="1">
        <v>45829</v>
      </c>
      <c r="B36" t="s">
        <v>7</v>
      </c>
      <c r="C36" t="s">
        <v>8</v>
      </c>
      <c r="D36" t="s">
        <v>19</v>
      </c>
      <c r="E36">
        <v>1932</v>
      </c>
      <c r="F36">
        <v>5</v>
      </c>
      <c r="G36">
        <v>15000</v>
      </c>
      <c r="H36">
        <f t="shared" si="0"/>
        <v>75000</v>
      </c>
      <c r="I36">
        <f t="shared" si="1"/>
        <v>73068</v>
      </c>
    </row>
    <row r="37" spans="1:9" x14ac:dyDescent="0.45">
      <c r="A37" s="1">
        <v>45672</v>
      </c>
      <c r="B37" t="s">
        <v>13</v>
      </c>
      <c r="C37" t="s">
        <v>18</v>
      </c>
      <c r="D37" t="s">
        <v>22</v>
      </c>
      <c r="E37">
        <v>1282</v>
      </c>
      <c r="F37">
        <v>14</v>
      </c>
      <c r="G37">
        <v>15000</v>
      </c>
      <c r="H37">
        <f t="shared" si="0"/>
        <v>210000</v>
      </c>
      <c r="I37">
        <f t="shared" si="1"/>
        <v>208718</v>
      </c>
    </row>
    <row r="38" spans="1:9" x14ac:dyDescent="0.45">
      <c r="A38" s="1">
        <v>45698</v>
      </c>
      <c r="B38" t="s">
        <v>20</v>
      </c>
      <c r="C38" t="s">
        <v>18</v>
      </c>
      <c r="D38" t="s">
        <v>12</v>
      </c>
      <c r="E38">
        <v>1282</v>
      </c>
      <c r="F38">
        <v>10</v>
      </c>
      <c r="G38">
        <v>80000</v>
      </c>
      <c r="H38">
        <f t="shared" si="0"/>
        <v>800000</v>
      </c>
      <c r="I38">
        <f t="shared" si="1"/>
        <v>798718</v>
      </c>
    </row>
    <row r="39" spans="1:9" x14ac:dyDescent="0.45">
      <c r="A39" s="1">
        <v>45732</v>
      </c>
      <c r="B39" t="s">
        <v>20</v>
      </c>
      <c r="C39" t="s">
        <v>17</v>
      </c>
      <c r="D39" t="s">
        <v>12</v>
      </c>
      <c r="E39">
        <v>1282</v>
      </c>
      <c r="F39">
        <v>4</v>
      </c>
      <c r="G39">
        <v>80000</v>
      </c>
      <c r="H39">
        <f t="shared" si="0"/>
        <v>320000</v>
      </c>
      <c r="I39">
        <f t="shared" si="1"/>
        <v>318718</v>
      </c>
    </row>
    <row r="40" spans="1:9" x14ac:dyDescent="0.45">
      <c r="A40" s="1">
        <v>45757</v>
      </c>
      <c r="B40" t="s">
        <v>20</v>
      </c>
      <c r="C40" t="s">
        <v>18</v>
      </c>
      <c r="D40" t="s">
        <v>9</v>
      </c>
      <c r="E40">
        <v>1282</v>
      </c>
      <c r="F40">
        <v>5</v>
      </c>
      <c r="G40">
        <v>350000</v>
      </c>
      <c r="H40">
        <f t="shared" si="0"/>
        <v>1750000</v>
      </c>
      <c r="I40">
        <f t="shared" si="1"/>
        <v>1748718</v>
      </c>
    </row>
    <row r="41" spans="1:9" x14ac:dyDescent="0.45">
      <c r="A41" s="1">
        <v>45793</v>
      </c>
      <c r="B41" t="s">
        <v>7</v>
      </c>
      <c r="C41" t="s">
        <v>8</v>
      </c>
      <c r="D41" t="s">
        <v>12</v>
      </c>
      <c r="E41">
        <v>1282</v>
      </c>
      <c r="F41">
        <v>5</v>
      </c>
      <c r="G41">
        <v>15000</v>
      </c>
      <c r="H41">
        <f t="shared" si="0"/>
        <v>75000</v>
      </c>
      <c r="I41">
        <f t="shared" si="1"/>
        <v>73718</v>
      </c>
    </row>
    <row r="42" spans="1:9" x14ac:dyDescent="0.45">
      <c r="A42" s="1">
        <v>45815</v>
      </c>
      <c r="B42" t="s">
        <v>13</v>
      </c>
      <c r="C42" t="s">
        <v>8</v>
      </c>
      <c r="D42" t="s">
        <v>19</v>
      </c>
      <c r="E42">
        <v>1282</v>
      </c>
      <c r="F42">
        <v>5</v>
      </c>
      <c r="G42">
        <v>120000</v>
      </c>
      <c r="H42">
        <f t="shared" si="0"/>
        <v>600000</v>
      </c>
      <c r="I42">
        <f t="shared" si="1"/>
        <v>598718</v>
      </c>
    </row>
    <row r="43" spans="1:9" x14ac:dyDescent="0.45">
      <c r="A43" s="1">
        <v>45827</v>
      </c>
      <c r="B43" t="s">
        <v>20</v>
      </c>
      <c r="C43" t="s">
        <v>17</v>
      </c>
      <c r="D43" t="s">
        <v>22</v>
      </c>
      <c r="E43">
        <v>1282</v>
      </c>
      <c r="F43">
        <v>17</v>
      </c>
      <c r="G43">
        <v>5000</v>
      </c>
      <c r="H43">
        <f t="shared" si="0"/>
        <v>85000</v>
      </c>
      <c r="I43">
        <f t="shared" si="1"/>
        <v>83718</v>
      </c>
    </row>
    <row r="44" spans="1:9" x14ac:dyDescent="0.45">
      <c r="A44" s="1">
        <v>45672</v>
      </c>
      <c r="B44" t="s">
        <v>10</v>
      </c>
      <c r="C44" t="s">
        <v>14</v>
      </c>
      <c r="D44" t="s">
        <v>15</v>
      </c>
      <c r="E44">
        <v>633</v>
      </c>
      <c r="F44">
        <v>2</v>
      </c>
      <c r="G44">
        <v>80000</v>
      </c>
      <c r="H44">
        <f t="shared" si="0"/>
        <v>160000</v>
      </c>
      <c r="I44">
        <f t="shared" si="1"/>
        <v>159367</v>
      </c>
    </row>
    <row r="45" spans="1:9" x14ac:dyDescent="0.45">
      <c r="A45" s="1">
        <v>45698</v>
      </c>
      <c r="B45" t="s">
        <v>7</v>
      </c>
      <c r="C45" t="s">
        <v>14</v>
      </c>
      <c r="D45" t="s">
        <v>9</v>
      </c>
      <c r="E45">
        <v>633</v>
      </c>
      <c r="F45">
        <v>1</v>
      </c>
      <c r="G45">
        <v>80000</v>
      </c>
      <c r="H45">
        <f t="shared" si="0"/>
        <v>80000</v>
      </c>
      <c r="I45">
        <f t="shared" si="1"/>
        <v>79367</v>
      </c>
    </row>
    <row r="46" spans="1:9" x14ac:dyDescent="0.45">
      <c r="A46" s="1">
        <v>45730</v>
      </c>
      <c r="B46" t="s">
        <v>7</v>
      </c>
      <c r="C46" t="s">
        <v>11</v>
      </c>
      <c r="D46" t="s">
        <v>22</v>
      </c>
      <c r="E46">
        <v>633</v>
      </c>
      <c r="F46">
        <v>7</v>
      </c>
      <c r="G46">
        <v>350000</v>
      </c>
      <c r="H46">
        <f t="shared" si="0"/>
        <v>2450000</v>
      </c>
      <c r="I46">
        <f t="shared" si="1"/>
        <v>2449367</v>
      </c>
    </row>
    <row r="47" spans="1:9" x14ac:dyDescent="0.45">
      <c r="A47" s="1">
        <v>45756</v>
      </c>
      <c r="B47" t="s">
        <v>7</v>
      </c>
      <c r="C47" t="s">
        <v>21</v>
      </c>
      <c r="D47" t="s">
        <v>16</v>
      </c>
      <c r="E47">
        <v>633</v>
      </c>
      <c r="F47">
        <v>10</v>
      </c>
      <c r="G47">
        <v>350000</v>
      </c>
      <c r="H47">
        <f t="shared" si="0"/>
        <v>3500000</v>
      </c>
      <c r="I47">
        <f t="shared" si="1"/>
        <v>3499367</v>
      </c>
    </row>
    <row r="48" spans="1:9" x14ac:dyDescent="0.45">
      <c r="A48" s="1">
        <v>45793</v>
      </c>
      <c r="B48" t="s">
        <v>13</v>
      </c>
      <c r="C48" t="s">
        <v>18</v>
      </c>
      <c r="D48" t="s">
        <v>16</v>
      </c>
      <c r="E48">
        <v>633</v>
      </c>
      <c r="F48">
        <v>1</v>
      </c>
      <c r="G48">
        <v>350000</v>
      </c>
      <c r="H48">
        <f t="shared" si="0"/>
        <v>350000</v>
      </c>
      <c r="I48">
        <f t="shared" si="1"/>
        <v>349367</v>
      </c>
    </row>
    <row r="49" spans="1:9" x14ac:dyDescent="0.45">
      <c r="A49" s="1">
        <v>45814</v>
      </c>
      <c r="B49" t="s">
        <v>13</v>
      </c>
      <c r="C49" t="s">
        <v>14</v>
      </c>
      <c r="D49" t="s">
        <v>9</v>
      </c>
      <c r="E49">
        <v>633</v>
      </c>
      <c r="F49">
        <v>5</v>
      </c>
      <c r="G49">
        <v>15000</v>
      </c>
      <c r="H49">
        <f t="shared" si="0"/>
        <v>75000</v>
      </c>
      <c r="I49">
        <f t="shared" si="1"/>
        <v>74367</v>
      </c>
    </row>
    <row r="50" spans="1:9" x14ac:dyDescent="0.45">
      <c r="A50" s="1">
        <v>45824</v>
      </c>
      <c r="B50" t="s">
        <v>13</v>
      </c>
      <c r="C50" t="s">
        <v>8</v>
      </c>
      <c r="D50" t="s">
        <v>15</v>
      </c>
      <c r="E50">
        <v>633</v>
      </c>
      <c r="F50">
        <v>9</v>
      </c>
      <c r="G50">
        <v>5000</v>
      </c>
      <c r="H50">
        <f t="shared" si="0"/>
        <v>45000</v>
      </c>
      <c r="I50">
        <f t="shared" si="1"/>
        <v>44367</v>
      </c>
    </row>
    <row r="51" spans="1:9" x14ac:dyDescent="0.45">
      <c r="A51" s="1">
        <v>45672</v>
      </c>
      <c r="B51" t="s">
        <v>7</v>
      </c>
      <c r="C51" t="s">
        <v>17</v>
      </c>
      <c r="D51" t="s">
        <v>16</v>
      </c>
      <c r="E51">
        <v>17</v>
      </c>
      <c r="F51">
        <v>5</v>
      </c>
      <c r="G51">
        <v>10000</v>
      </c>
      <c r="H51">
        <f t="shared" si="0"/>
        <v>50000</v>
      </c>
      <c r="I51">
        <f t="shared" si="1"/>
        <v>49983</v>
      </c>
    </row>
    <row r="52" spans="1:9" x14ac:dyDescent="0.45">
      <c r="A52" s="1">
        <v>45697</v>
      </c>
      <c r="B52" t="s">
        <v>13</v>
      </c>
      <c r="C52" t="s">
        <v>18</v>
      </c>
      <c r="D52" t="s">
        <v>9</v>
      </c>
      <c r="E52">
        <v>17</v>
      </c>
      <c r="F52">
        <v>17</v>
      </c>
      <c r="G52">
        <v>15000</v>
      </c>
      <c r="H52">
        <f t="shared" si="0"/>
        <v>255000</v>
      </c>
      <c r="I52">
        <f t="shared" si="1"/>
        <v>254983</v>
      </c>
    </row>
    <row r="53" spans="1:9" x14ac:dyDescent="0.45">
      <c r="A53" s="1">
        <v>45729</v>
      </c>
      <c r="B53" t="s">
        <v>10</v>
      </c>
      <c r="C53" t="s">
        <v>18</v>
      </c>
      <c r="D53" t="s">
        <v>22</v>
      </c>
      <c r="E53">
        <v>17</v>
      </c>
      <c r="F53">
        <v>5</v>
      </c>
      <c r="G53">
        <v>15000</v>
      </c>
      <c r="H53">
        <f t="shared" si="0"/>
        <v>75000</v>
      </c>
      <c r="I53">
        <f t="shared" si="1"/>
        <v>74983</v>
      </c>
    </row>
    <row r="54" spans="1:9" x14ac:dyDescent="0.45">
      <c r="A54" s="1">
        <v>45752</v>
      </c>
      <c r="B54" t="s">
        <v>20</v>
      </c>
      <c r="C54" t="s">
        <v>11</v>
      </c>
      <c r="D54" t="s">
        <v>15</v>
      </c>
      <c r="E54">
        <v>17</v>
      </c>
      <c r="F54">
        <v>8</v>
      </c>
      <c r="G54">
        <v>10000</v>
      </c>
      <c r="H54">
        <f t="shared" si="0"/>
        <v>80000</v>
      </c>
      <c r="I54">
        <f t="shared" si="1"/>
        <v>79983</v>
      </c>
    </row>
    <row r="55" spans="1:9" x14ac:dyDescent="0.45">
      <c r="A55" s="1">
        <v>45792</v>
      </c>
      <c r="B55" t="s">
        <v>10</v>
      </c>
      <c r="C55" t="s">
        <v>18</v>
      </c>
      <c r="D55" t="s">
        <v>9</v>
      </c>
      <c r="E55">
        <v>17</v>
      </c>
      <c r="F55">
        <v>9</v>
      </c>
      <c r="G55">
        <v>10000</v>
      </c>
      <c r="H55">
        <f t="shared" si="0"/>
        <v>90000</v>
      </c>
      <c r="I55">
        <f t="shared" si="1"/>
        <v>89983</v>
      </c>
    </row>
    <row r="56" spans="1:9" x14ac:dyDescent="0.45">
      <c r="A56" s="1">
        <v>45811</v>
      </c>
      <c r="B56" t="s">
        <v>10</v>
      </c>
      <c r="C56" t="s">
        <v>14</v>
      </c>
      <c r="D56" t="s">
        <v>12</v>
      </c>
      <c r="E56">
        <v>17</v>
      </c>
      <c r="F56">
        <v>2</v>
      </c>
      <c r="G56">
        <v>10000</v>
      </c>
      <c r="H56">
        <f t="shared" si="0"/>
        <v>20000</v>
      </c>
      <c r="I56">
        <f t="shared" si="1"/>
        <v>19983</v>
      </c>
    </row>
    <row r="57" spans="1:9" x14ac:dyDescent="0.45">
      <c r="A57" s="1">
        <v>45821</v>
      </c>
      <c r="B57" t="s">
        <v>20</v>
      </c>
      <c r="C57" t="s">
        <v>17</v>
      </c>
      <c r="D57" t="s">
        <v>12</v>
      </c>
      <c r="E57">
        <v>17</v>
      </c>
      <c r="F57">
        <v>7</v>
      </c>
      <c r="G57">
        <v>5000</v>
      </c>
      <c r="H57">
        <f t="shared" si="0"/>
        <v>35000</v>
      </c>
      <c r="I57">
        <f t="shared" si="1"/>
        <v>34983</v>
      </c>
    </row>
    <row r="58" spans="1:9" x14ac:dyDescent="0.45">
      <c r="A58" s="1">
        <v>45672</v>
      </c>
      <c r="B58" t="s">
        <v>10</v>
      </c>
      <c r="C58" t="s">
        <v>14</v>
      </c>
      <c r="D58" t="s">
        <v>22</v>
      </c>
      <c r="E58">
        <v>667</v>
      </c>
      <c r="F58">
        <v>13</v>
      </c>
      <c r="G58">
        <v>350000</v>
      </c>
      <c r="H58">
        <f t="shared" si="0"/>
        <v>4550000</v>
      </c>
      <c r="I58">
        <f t="shared" si="1"/>
        <v>4549333</v>
      </c>
    </row>
    <row r="59" spans="1:9" x14ac:dyDescent="0.45">
      <c r="A59" s="1">
        <v>45695</v>
      </c>
      <c r="B59" t="s">
        <v>20</v>
      </c>
      <c r="C59" t="s">
        <v>11</v>
      </c>
      <c r="D59" t="s">
        <v>9</v>
      </c>
      <c r="E59">
        <v>667</v>
      </c>
      <c r="F59">
        <v>17</v>
      </c>
      <c r="G59">
        <v>15000</v>
      </c>
      <c r="H59">
        <f t="shared" si="0"/>
        <v>255000</v>
      </c>
      <c r="I59">
        <f t="shared" si="1"/>
        <v>254333</v>
      </c>
    </row>
    <row r="60" spans="1:9" x14ac:dyDescent="0.45">
      <c r="A60" s="1">
        <v>45729</v>
      </c>
      <c r="B60" t="s">
        <v>7</v>
      </c>
      <c r="C60" t="s">
        <v>11</v>
      </c>
      <c r="D60" t="s">
        <v>22</v>
      </c>
      <c r="E60">
        <v>667</v>
      </c>
      <c r="F60">
        <v>4</v>
      </c>
      <c r="G60">
        <v>80000</v>
      </c>
      <c r="H60">
        <f t="shared" si="0"/>
        <v>320000</v>
      </c>
      <c r="I60">
        <f t="shared" si="1"/>
        <v>319333</v>
      </c>
    </row>
    <row r="61" spans="1:9" x14ac:dyDescent="0.45">
      <c r="A61" s="1">
        <v>45750</v>
      </c>
      <c r="B61" t="s">
        <v>20</v>
      </c>
      <c r="C61" t="s">
        <v>18</v>
      </c>
      <c r="D61" t="s">
        <v>16</v>
      </c>
      <c r="E61">
        <v>667</v>
      </c>
      <c r="F61">
        <v>3</v>
      </c>
      <c r="G61">
        <v>80000</v>
      </c>
      <c r="H61">
        <f t="shared" si="0"/>
        <v>240000</v>
      </c>
      <c r="I61">
        <f t="shared" si="1"/>
        <v>239333</v>
      </c>
    </row>
    <row r="62" spans="1:9" x14ac:dyDescent="0.45">
      <c r="A62" s="1">
        <v>45792</v>
      </c>
      <c r="B62" t="s">
        <v>20</v>
      </c>
      <c r="C62" t="s">
        <v>8</v>
      </c>
      <c r="D62" t="s">
        <v>9</v>
      </c>
      <c r="E62">
        <v>667</v>
      </c>
      <c r="F62">
        <v>17</v>
      </c>
      <c r="G62">
        <v>5000</v>
      </c>
      <c r="H62">
        <f t="shared" si="0"/>
        <v>85000</v>
      </c>
      <c r="I62">
        <f t="shared" si="1"/>
        <v>84333</v>
      </c>
    </row>
    <row r="63" spans="1:9" x14ac:dyDescent="0.45">
      <c r="A63" s="1">
        <v>45809</v>
      </c>
      <c r="B63" t="s">
        <v>7</v>
      </c>
      <c r="C63" t="s">
        <v>11</v>
      </c>
      <c r="D63" t="s">
        <v>9</v>
      </c>
      <c r="E63">
        <v>667</v>
      </c>
      <c r="F63">
        <v>17</v>
      </c>
      <c r="G63">
        <v>15000</v>
      </c>
      <c r="H63">
        <f t="shared" si="0"/>
        <v>255000</v>
      </c>
      <c r="I63">
        <f t="shared" si="1"/>
        <v>254333</v>
      </c>
    </row>
    <row r="64" spans="1:9" x14ac:dyDescent="0.45">
      <c r="A64" s="1">
        <v>45820</v>
      </c>
      <c r="B64" t="s">
        <v>13</v>
      </c>
      <c r="C64" t="s">
        <v>11</v>
      </c>
      <c r="D64" t="s">
        <v>22</v>
      </c>
      <c r="E64">
        <v>667</v>
      </c>
      <c r="F64">
        <v>5</v>
      </c>
      <c r="G64">
        <v>120000</v>
      </c>
      <c r="H64">
        <f t="shared" si="0"/>
        <v>600000</v>
      </c>
      <c r="I64">
        <f t="shared" si="1"/>
        <v>599333</v>
      </c>
    </row>
    <row r="65" spans="1:9" x14ac:dyDescent="0.45">
      <c r="A65" s="1">
        <v>45837</v>
      </c>
      <c r="B65" t="s">
        <v>7</v>
      </c>
      <c r="C65" t="s">
        <v>17</v>
      </c>
      <c r="D65" t="s">
        <v>12</v>
      </c>
      <c r="E65">
        <v>667</v>
      </c>
      <c r="F65">
        <v>1</v>
      </c>
      <c r="G65">
        <v>15000</v>
      </c>
      <c r="H65">
        <f t="shared" si="0"/>
        <v>15000</v>
      </c>
      <c r="I65">
        <f t="shared" si="1"/>
        <v>14333</v>
      </c>
    </row>
    <row r="66" spans="1:9" x14ac:dyDescent="0.45">
      <c r="A66" s="1">
        <v>45659</v>
      </c>
      <c r="B66" t="s">
        <v>20</v>
      </c>
      <c r="C66" t="s">
        <v>17</v>
      </c>
      <c r="D66" t="s">
        <v>16</v>
      </c>
      <c r="E66">
        <v>1000</v>
      </c>
      <c r="F66">
        <v>7</v>
      </c>
      <c r="G66">
        <v>350000</v>
      </c>
      <c r="H66">
        <f t="shared" si="0"/>
        <v>2450000</v>
      </c>
      <c r="I66">
        <f t="shared" si="1"/>
        <v>2449000</v>
      </c>
    </row>
    <row r="67" spans="1:9" x14ac:dyDescent="0.45">
      <c r="A67" s="1">
        <v>45678</v>
      </c>
      <c r="B67" t="s">
        <v>20</v>
      </c>
      <c r="C67" t="s">
        <v>17</v>
      </c>
      <c r="D67" t="s">
        <v>15</v>
      </c>
      <c r="E67">
        <v>1000</v>
      </c>
      <c r="F67">
        <v>3</v>
      </c>
      <c r="G67">
        <v>350000</v>
      </c>
      <c r="H67">
        <f t="shared" ref="H67:H121" si="2">F67*G67</f>
        <v>1050000</v>
      </c>
      <c r="I67">
        <f t="shared" ref="I67:I121" si="3">H67-E67</f>
        <v>1049000</v>
      </c>
    </row>
    <row r="68" spans="1:9" x14ac:dyDescent="0.45">
      <c r="A68" s="1">
        <v>45711</v>
      </c>
      <c r="B68" t="s">
        <v>7</v>
      </c>
      <c r="C68" t="s">
        <v>11</v>
      </c>
      <c r="D68" t="s">
        <v>15</v>
      </c>
      <c r="E68">
        <v>1000</v>
      </c>
      <c r="F68">
        <v>11</v>
      </c>
      <c r="G68">
        <v>120000</v>
      </c>
      <c r="H68">
        <f t="shared" si="2"/>
        <v>1320000</v>
      </c>
      <c r="I68">
        <f t="shared" si="3"/>
        <v>1319000</v>
      </c>
    </row>
    <row r="69" spans="1:9" x14ac:dyDescent="0.45">
      <c r="A69" s="1">
        <v>45739</v>
      </c>
      <c r="B69" t="s">
        <v>20</v>
      </c>
      <c r="C69" t="s">
        <v>8</v>
      </c>
      <c r="D69" t="s">
        <v>15</v>
      </c>
      <c r="E69">
        <v>1000</v>
      </c>
      <c r="F69">
        <v>1</v>
      </c>
      <c r="G69">
        <v>10000</v>
      </c>
      <c r="H69">
        <f t="shared" si="2"/>
        <v>10000</v>
      </c>
      <c r="I69">
        <f t="shared" si="3"/>
        <v>9000</v>
      </c>
    </row>
    <row r="70" spans="1:9" x14ac:dyDescent="0.45">
      <c r="A70" s="1">
        <v>45780</v>
      </c>
      <c r="B70" t="s">
        <v>20</v>
      </c>
      <c r="C70" t="s">
        <v>17</v>
      </c>
      <c r="D70" t="s">
        <v>16</v>
      </c>
      <c r="E70">
        <v>1000</v>
      </c>
      <c r="F70">
        <v>15</v>
      </c>
      <c r="G70">
        <v>15000</v>
      </c>
      <c r="H70">
        <f t="shared" si="2"/>
        <v>225000</v>
      </c>
      <c r="I70">
        <f t="shared" si="3"/>
        <v>224000</v>
      </c>
    </row>
    <row r="71" spans="1:9" x14ac:dyDescent="0.45">
      <c r="A71" s="1">
        <v>45671</v>
      </c>
      <c r="B71" t="s">
        <v>10</v>
      </c>
      <c r="C71" t="s">
        <v>17</v>
      </c>
      <c r="D71" t="s">
        <v>19</v>
      </c>
      <c r="E71">
        <v>1300</v>
      </c>
      <c r="F71">
        <v>18</v>
      </c>
      <c r="G71">
        <v>80000</v>
      </c>
      <c r="H71">
        <f t="shared" si="2"/>
        <v>1440000</v>
      </c>
      <c r="I71">
        <f t="shared" si="3"/>
        <v>1438700</v>
      </c>
    </row>
    <row r="72" spans="1:9" x14ac:dyDescent="0.45">
      <c r="A72" s="1">
        <v>45692</v>
      </c>
      <c r="B72" t="s">
        <v>13</v>
      </c>
      <c r="C72" t="s">
        <v>21</v>
      </c>
      <c r="D72" t="s">
        <v>15</v>
      </c>
      <c r="E72">
        <v>1300</v>
      </c>
      <c r="F72">
        <v>12</v>
      </c>
      <c r="G72">
        <v>15000</v>
      </c>
      <c r="H72">
        <f t="shared" si="2"/>
        <v>180000</v>
      </c>
      <c r="I72">
        <f t="shared" si="3"/>
        <v>178700</v>
      </c>
    </row>
    <row r="73" spans="1:9" x14ac:dyDescent="0.45">
      <c r="A73" s="1">
        <v>45722</v>
      </c>
      <c r="B73" t="s">
        <v>20</v>
      </c>
      <c r="C73" t="s">
        <v>21</v>
      </c>
      <c r="D73" t="s">
        <v>16</v>
      </c>
      <c r="E73">
        <v>1300</v>
      </c>
      <c r="F73">
        <v>12</v>
      </c>
      <c r="G73">
        <v>120000</v>
      </c>
      <c r="H73">
        <f t="shared" si="2"/>
        <v>1440000</v>
      </c>
      <c r="I73">
        <f t="shared" si="3"/>
        <v>1438700</v>
      </c>
    </row>
    <row r="74" spans="1:9" x14ac:dyDescent="0.45">
      <c r="A74" s="1">
        <v>45747</v>
      </c>
      <c r="B74" t="s">
        <v>7</v>
      </c>
      <c r="C74" t="s">
        <v>14</v>
      </c>
      <c r="D74" t="s">
        <v>9</v>
      </c>
      <c r="E74">
        <v>1300</v>
      </c>
      <c r="F74">
        <v>13</v>
      </c>
      <c r="G74">
        <v>15000</v>
      </c>
      <c r="H74">
        <f t="shared" si="2"/>
        <v>195000</v>
      </c>
      <c r="I74">
        <f t="shared" si="3"/>
        <v>193700</v>
      </c>
    </row>
    <row r="75" spans="1:9" x14ac:dyDescent="0.45">
      <c r="A75" s="1">
        <v>45789</v>
      </c>
      <c r="B75" t="s">
        <v>20</v>
      </c>
      <c r="C75" t="s">
        <v>17</v>
      </c>
      <c r="D75" t="s">
        <v>19</v>
      </c>
      <c r="E75">
        <v>1300</v>
      </c>
      <c r="F75">
        <v>1</v>
      </c>
      <c r="G75">
        <v>15000</v>
      </c>
      <c r="H75">
        <f t="shared" si="2"/>
        <v>15000</v>
      </c>
      <c r="I75">
        <f t="shared" si="3"/>
        <v>13700</v>
      </c>
    </row>
    <row r="76" spans="1:9" x14ac:dyDescent="0.45">
      <c r="A76" s="1">
        <v>45807</v>
      </c>
      <c r="B76" t="s">
        <v>13</v>
      </c>
      <c r="C76" t="s">
        <v>18</v>
      </c>
      <c r="D76" t="s">
        <v>12</v>
      </c>
      <c r="E76">
        <v>1300</v>
      </c>
      <c r="F76">
        <v>1</v>
      </c>
      <c r="G76">
        <v>350000</v>
      </c>
      <c r="H76">
        <f t="shared" si="2"/>
        <v>350000</v>
      </c>
      <c r="I76">
        <f t="shared" si="3"/>
        <v>348700</v>
      </c>
    </row>
    <row r="77" spans="1:9" x14ac:dyDescent="0.45">
      <c r="A77" s="1">
        <v>45819</v>
      </c>
      <c r="B77" t="s">
        <v>10</v>
      </c>
      <c r="C77" t="s">
        <v>11</v>
      </c>
      <c r="D77" t="s">
        <v>22</v>
      </c>
      <c r="E77">
        <v>1300</v>
      </c>
      <c r="F77">
        <v>16</v>
      </c>
      <c r="G77">
        <v>15000</v>
      </c>
      <c r="H77">
        <f t="shared" si="2"/>
        <v>240000</v>
      </c>
      <c r="I77">
        <f t="shared" si="3"/>
        <v>238700</v>
      </c>
    </row>
    <row r="78" spans="1:9" x14ac:dyDescent="0.45">
      <c r="A78" s="1">
        <v>45832</v>
      </c>
      <c r="B78" t="s">
        <v>20</v>
      </c>
      <c r="C78" t="s">
        <v>17</v>
      </c>
      <c r="D78" t="s">
        <v>19</v>
      </c>
      <c r="E78">
        <v>1300</v>
      </c>
      <c r="F78">
        <v>2</v>
      </c>
      <c r="G78">
        <v>5000</v>
      </c>
      <c r="H78">
        <f t="shared" si="2"/>
        <v>10000</v>
      </c>
      <c r="I78">
        <f t="shared" si="3"/>
        <v>8700</v>
      </c>
    </row>
    <row r="79" spans="1:9" x14ac:dyDescent="0.45">
      <c r="A79" s="1">
        <v>45665</v>
      </c>
      <c r="B79" t="s">
        <v>7</v>
      </c>
      <c r="C79" t="s">
        <v>18</v>
      </c>
      <c r="D79" t="s">
        <v>16</v>
      </c>
      <c r="E79">
        <v>1500</v>
      </c>
      <c r="F79">
        <v>16</v>
      </c>
      <c r="G79">
        <v>350000</v>
      </c>
      <c r="H79">
        <f t="shared" si="2"/>
        <v>5600000</v>
      </c>
      <c r="I79">
        <f t="shared" si="3"/>
        <v>5598500</v>
      </c>
    </row>
    <row r="80" spans="1:9" x14ac:dyDescent="0.45">
      <c r="A80" s="1">
        <v>45685</v>
      </c>
      <c r="B80" t="s">
        <v>10</v>
      </c>
      <c r="C80" t="s">
        <v>18</v>
      </c>
      <c r="D80" t="s">
        <v>15</v>
      </c>
      <c r="E80">
        <v>1500</v>
      </c>
      <c r="F80">
        <v>8</v>
      </c>
      <c r="G80">
        <v>10000</v>
      </c>
      <c r="H80">
        <f t="shared" si="2"/>
        <v>80000</v>
      </c>
      <c r="I80">
        <f t="shared" si="3"/>
        <v>78500</v>
      </c>
    </row>
    <row r="81" spans="1:9" x14ac:dyDescent="0.45">
      <c r="A81" s="1">
        <v>45717</v>
      </c>
      <c r="B81" t="s">
        <v>7</v>
      </c>
      <c r="C81" t="s">
        <v>14</v>
      </c>
      <c r="D81" t="s">
        <v>19</v>
      </c>
      <c r="E81">
        <v>1500</v>
      </c>
      <c r="F81">
        <v>16</v>
      </c>
      <c r="G81">
        <v>5000</v>
      </c>
      <c r="H81">
        <f t="shared" si="2"/>
        <v>80000</v>
      </c>
      <c r="I81">
        <f t="shared" si="3"/>
        <v>78500</v>
      </c>
    </row>
    <row r="82" spans="1:9" x14ac:dyDescent="0.45">
      <c r="A82" s="1">
        <v>45745</v>
      </c>
      <c r="B82" t="s">
        <v>20</v>
      </c>
      <c r="C82" t="s">
        <v>17</v>
      </c>
      <c r="D82" t="s">
        <v>9</v>
      </c>
      <c r="E82">
        <v>1500</v>
      </c>
      <c r="F82">
        <v>19</v>
      </c>
      <c r="G82">
        <v>120000</v>
      </c>
      <c r="H82">
        <f t="shared" si="2"/>
        <v>2280000</v>
      </c>
      <c r="I82">
        <f t="shared" si="3"/>
        <v>2278500</v>
      </c>
    </row>
    <row r="83" spans="1:9" x14ac:dyDescent="0.45">
      <c r="A83" s="1">
        <v>45787</v>
      </c>
      <c r="B83" t="s">
        <v>13</v>
      </c>
      <c r="C83" t="s">
        <v>11</v>
      </c>
      <c r="D83" t="s">
        <v>15</v>
      </c>
      <c r="E83">
        <v>1500</v>
      </c>
      <c r="F83">
        <v>10</v>
      </c>
      <c r="G83">
        <v>80000</v>
      </c>
      <c r="H83">
        <f t="shared" si="2"/>
        <v>800000</v>
      </c>
      <c r="I83">
        <f t="shared" si="3"/>
        <v>798500</v>
      </c>
    </row>
    <row r="84" spans="1:9" x14ac:dyDescent="0.45">
      <c r="A84" s="1">
        <v>45666</v>
      </c>
      <c r="B84" t="s">
        <v>13</v>
      </c>
      <c r="C84" t="s">
        <v>8</v>
      </c>
      <c r="D84" t="s">
        <v>12</v>
      </c>
      <c r="E84">
        <v>2000</v>
      </c>
      <c r="F84">
        <v>1</v>
      </c>
      <c r="G84">
        <v>80000</v>
      </c>
      <c r="H84">
        <f t="shared" si="2"/>
        <v>80000</v>
      </c>
      <c r="I84">
        <f t="shared" si="3"/>
        <v>78000</v>
      </c>
    </row>
    <row r="85" spans="1:9" x14ac:dyDescent="0.45">
      <c r="A85" s="1">
        <v>45690</v>
      </c>
      <c r="B85" t="s">
        <v>20</v>
      </c>
      <c r="C85" t="s">
        <v>17</v>
      </c>
      <c r="D85" t="s">
        <v>12</v>
      </c>
      <c r="E85">
        <v>2000</v>
      </c>
      <c r="F85">
        <v>3</v>
      </c>
      <c r="G85">
        <v>15000</v>
      </c>
      <c r="H85">
        <f t="shared" si="2"/>
        <v>45000</v>
      </c>
      <c r="I85">
        <f t="shared" si="3"/>
        <v>43000</v>
      </c>
    </row>
    <row r="86" spans="1:9" x14ac:dyDescent="0.45">
      <c r="A86" s="1">
        <v>45719</v>
      </c>
      <c r="B86" t="s">
        <v>7</v>
      </c>
      <c r="C86" t="s">
        <v>17</v>
      </c>
      <c r="D86" t="s">
        <v>16</v>
      </c>
      <c r="E86">
        <v>2000</v>
      </c>
      <c r="F86">
        <v>16</v>
      </c>
      <c r="G86">
        <v>5000</v>
      </c>
      <c r="H86">
        <f t="shared" si="2"/>
        <v>80000</v>
      </c>
      <c r="I86">
        <f t="shared" si="3"/>
        <v>78000</v>
      </c>
    </row>
    <row r="87" spans="1:9" x14ac:dyDescent="0.45">
      <c r="A87" s="1">
        <v>45746</v>
      </c>
      <c r="B87" t="s">
        <v>7</v>
      </c>
      <c r="C87" t="s">
        <v>11</v>
      </c>
      <c r="D87" t="s">
        <v>16</v>
      </c>
      <c r="E87">
        <v>2000</v>
      </c>
      <c r="F87">
        <v>4</v>
      </c>
      <c r="G87">
        <v>15000</v>
      </c>
      <c r="H87">
        <f t="shared" si="2"/>
        <v>60000</v>
      </c>
      <c r="I87">
        <f t="shared" si="3"/>
        <v>58000</v>
      </c>
    </row>
    <row r="88" spans="1:9" x14ac:dyDescent="0.45">
      <c r="A88" s="1">
        <v>45788</v>
      </c>
      <c r="B88" t="s">
        <v>13</v>
      </c>
      <c r="C88" t="s">
        <v>8</v>
      </c>
      <c r="D88" t="s">
        <v>9</v>
      </c>
      <c r="E88">
        <v>2000</v>
      </c>
      <c r="F88">
        <v>17</v>
      </c>
      <c r="G88">
        <v>80000</v>
      </c>
      <c r="H88">
        <f t="shared" si="2"/>
        <v>1360000</v>
      </c>
      <c r="I88">
        <f t="shared" si="3"/>
        <v>1358000</v>
      </c>
    </row>
    <row r="89" spans="1:9" x14ac:dyDescent="0.45">
      <c r="A89" s="1">
        <v>45662</v>
      </c>
      <c r="B89" t="s">
        <v>7</v>
      </c>
      <c r="C89" t="s">
        <v>18</v>
      </c>
      <c r="D89" t="s">
        <v>15</v>
      </c>
      <c r="E89">
        <v>2100</v>
      </c>
      <c r="F89">
        <v>13</v>
      </c>
      <c r="G89">
        <v>5000</v>
      </c>
      <c r="H89">
        <f t="shared" si="2"/>
        <v>65000</v>
      </c>
      <c r="I89">
        <f t="shared" si="3"/>
        <v>62900</v>
      </c>
    </row>
    <row r="90" spans="1:9" x14ac:dyDescent="0.45">
      <c r="A90" s="1">
        <v>45681</v>
      </c>
      <c r="B90" t="s">
        <v>10</v>
      </c>
      <c r="C90" t="s">
        <v>21</v>
      </c>
      <c r="D90" t="s">
        <v>19</v>
      </c>
      <c r="E90">
        <v>2100</v>
      </c>
      <c r="F90">
        <v>12</v>
      </c>
      <c r="G90">
        <v>15000</v>
      </c>
      <c r="H90">
        <f t="shared" si="2"/>
        <v>180000</v>
      </c>
      <c r="I90">
        <f t="shared" si="3"/>
        <v>177900</v>
      </c>
    </row>
    <row r="91" spans="1:9" x14ac:dyDescent="0.45">
      <c r="A91" s="1">
        <v>45716</v>
      </c>
      <c r="B91" t="s">
        <v>20</v>
      </c>
      <c r="C91" t="s">
        <v>11</v>
      </c>
      <c r="D91" t="s">
        <v>19</v>
      </c>
      <c r="E91">
        <v>2100</v>
      </c>
      <c r="F91">
        <v>12</v>
      </c>
      <c r="G91">
        <v>80000</v>
      </c>
      <c r="H91">
        <f t="shared" si="2"/>
        <v>960000</v>
      </c>
      <c r="I91">
        <f t="shared" si="3"/>
        <v>957900</v>
      </c>
    </row>
    <row r="92" spans="1:9" x14ac:dyDescent="0.45">
      <c r="A92" s="1">
        <v>45745</v>
      </c>
      <c r="B92" t="s">
        <v>20</v>
      </c>
      <c r="C92" t="s">
        <v>8</v>
      </c>
      <c r="D92" t="s">
        <v>16</v>
      </c>
      <c r="E92">
        <v>2100</v>
      </c>
      <c r="F92">
        <v>13</v>
      </c>
      <c r="G92">
        <v>120000</v>
      </c>
      <c r="H92">
        <f t="shared" si="2"/>
        <v>1560000</v>
      </c>
      <c r="I92">
        <f t="shared" si="3"/>
        <v>1557900</v>
      </c>
    </row>
    <row r="93" spans="1:9" x14ac:dyDescent="0.45">
      <c r="A93" s="1">
        <v>45787</v>
      </c>
      <c r="B93" t="s">
        <v>10</v>
      </c>
      <c r="C93" t="s">
        <v>17</v>
      </c>
      <c r="D93" t="s">
        <v>16</v>
      </c>
      <c r="E93">
        <v>2100</v>
      </c>
      <c r="F93">
        <v>5</v>
      </c>
      <c r="G93">
        <v>10000</v>
      </c>
      <c r="H93">
        <f t="shared" si="2"/>
        <v>50000</v>
      </c>
      <c r="I93">
        <f t="shared" si="3"/>
        <v>47900</v>
      </c>
    </row>
    <row r="94" spans="1:9" x14ac:dyDescent="0.45">
      <c r="A94" s="1">
        <v>45669</v>
      </c>
      <c r="B94" t="s">
        <v>13</v>
      </c>
      <c r="C94" t="s">
        <v>18</v>
      </c>
      <c r="D94" t="s">
        <v>19</v>
      </c>
      <c r="E94">
        <v>2500</v>
      </c>
      <c r="F94">
        <v>18</v>
      </c>
      <c r="G94">
        <v>80000</v>
      </c>
      <c r="H94">
        <f t="shared" si="2"/>
        <v>1440000</v>
      </c>
      <c r="I94">
        <f t="shared" si="3"/>
        <v>1437500</v>
      </c>
    </row>
    <row r="95" spans="1:9" x14ac:dyDescent="0.45">
      <c r="A95" s="1">
        <v>45692</v>
      </c>
      <c r="B95" t="s">
        <v>13</v>
      </c>
      <c r="C95" t="s">
        <v>11</v>
      </c>
      <c r="D95" t="s">
        <v>12</v>
      </c>
      <c r="E95">
        <v>2500</v>
      </c>
      <c r="F95">
        <v>19</v>
      </c>
      <c r="G95">
        <v>350000</v>
      </c>
      <c r="H95">
        <f t="shared" si="2"/>
        <v>6650000</v>
      </c>
      <c r="I95">
        <f t="shared" si="3"/>
        <v>6647500</v>
      </c>
    </row>
    <row r="96" spans="1:9" x14ac:dyDescent="0.45">
      <c r="A96" s="1">
        <v>45721</v>
      </c>
      <c r="B96" t="s">
        <v>10</v>
      </c>
      <c r="C96" t="s">
        <v>8</v>
      </c>
      <c r="D96" t="s">
        <v>22</v>
      </c>
      <c r="E96">
        <v>2500</v>
      </c>
      <c r="F96">
        <v>3</v>
      </c>
      <c r="G96">
        <v>120000</v>
      </c>
      <c r="H96">
        <f t="shared" si="2"/>
        <v>360000</v>
      </c>
      <c r="I96">
        <f t="shared" si="3"/>
        <v>357500</v>
      </c>
    </row>
    <row r="97" spans="1:9" x14ac:dyDescent="0.45">
      <c r="A97" s="1">
        <v>45746</v>
      </c>
      <c r="B97" t="s">
        <v>10</v>
      </c>
      <c r="C97" t="s">
        <v>18</v>
      </c>
      <c r="D97" t="s">
        <v>19</v>
      </c>
      <c r="E97">
        <v>2500</v>
      </c>
      <c r="F97">
        <v>16</v>
      </c>
      <c r="G97">
        <v>120000</v>
      </c>
      <c r="H97">
        <f t="shared" si="2"/>
        <v>1920000</v>
      </c>
      <c r="I97">
        <f t="shared" si="3"/>
        <v>1917500</v>
      </c>
    </row>
    <row r="98" spans="1:9" x14ac:dyDescent="0.45">
      <c r="A98" s="1">
        <v>45789</v>
      </c>
      <c r="B98" t="s">
        <v>7</v>
      </c>
      <c r="C98" t="s">
        <v>14</v>
      </c>
      <c r="D98" t="s">
        <v>15</v>
      </c>
      <c r="E98">
        <v>2500</v>
      </c>
      <c r="F98">
        <v>12</v>
      </c>
      <c r="G98">
        <v>120000</v>
      </c>
      <c r="H98">
        <f t="shared" si="2"/>
        <v>1440000</v>
      </c>
      <c r="I98">
        <f t="shared" si="3"/>
        <v>1437500</v>
      </c>
    </row>
    <row r="99" spans="1:9" x14ac:dyDescent="0.45">
      <c r="A99" s="1">
        <v>45661</v>
      </c>
      <c r="B99" t="s">
        <v>20</v>
      </c>
      <c r="C99" t="s">
        <v>8</v>
      </c>
      <c r="D99" t="s">
        <v>12</v>
      </c>
      <c r="E99">
        <v>3000</v>
      </c>
      <c r="F99">
        <v>3</v>
      </c>
      <c r="G99">
        <v>15000</v>
      </c>
      <c r="H99">
        <f t="shared" si="2"/>
        <v>45000</v>
      </c>
      <c r="I99">
        <f t="shared" si="3"/>
        <v>42000</v>
      </c>
    </row>
    <row r="100" spans="1:9" x14ac:dyDescent="0.45">
      <c r="A100" s="1">
        <v>45679</v>
      </c>
      <c r="B100" t="s">
        <v>13</v>
      </c>
      <c r="C100" t="s">
        <v>11</v>
      </c>
      <c r="D100" t="s">
        <v>12</v>
      </c>
      <c r="E100">
        <v>3000</v>
      </c>
      <c r="F100">
        <v>16</v>
      </c>
      <c r="G100">
        <v>5000</v>
      </c>
      <c r="H100">
        <f t="shared" si="2"/>
        <v>80000</v>
      </c>
      <c r="I100">
        <f t="shared" si="3"/>
        <v>77000</v>
      </c>
    </row>
    <row r="101" spans="1:9" x14ac:dyDescent="0.45">
      <c r="A101" s="1">
        <v>45715</v>
      </c>
      <c r="B101" t="s">
        <v>13</v>
      </c>
      <c r="C101" t="s">
        <v>17</v>
      </c>
      <c r="D101" t="s">
        <v>19</v>
      </c>
      <c r="E101">
        <v>3000</v>
      </c>
      <c r="F101">
        <v>17</v>
      </c>
      <c r="G101">
        <v>120000</v>
      </c>
      <c r="H101">
        <f t="shared" si="2"/>
        <v>2040000</v>
      </c>
      <c r="I101">
        <f t="shared" si="3"/>
        <v>2037000</v>
      </c>
    </row>
    <row r="102" spans="1:9" x14ac:dyDescent="0.45">
      <c r="A102" s="1">
        <v>45745</v>
      </c>
      <c r="B102" t="s">
        <v>13</v>
      </c>
      <c r="C102" t="s">
        <v>11</v>
      </c>
      <c r="D102" t="s">
        <v>12</v>
      </c>
      <c r="E102">
        <v>3000</v>
      </c>
      <c r="F102">
        <v>19</v>
      </c>
      <c r="G102">
        <v>80000</v>
      </c>
      <c r="H102">
        <f t="shared" si="2"/>
        <v>1520000</v>
      </c>
      <c r="I102">
        <f t="shared" si="3"/>
        <v>1517000</v>
      </c>
    </row>
    <row r="103" spans="1:9" x14ac:dyDescent="0.45">
      <c r="A103" s="1">
        <v>45786</v>
      </c>
      <c r="B103" t="s">
        <v>10</v>
      </c>
      <c r="C103" t="s">
        <v>8</v>
      </c>
      <c r="D103" t="s">
        <v>12</v>
      </c>
      <c r="E103">
        <v>3000</v>
      </c>
      <c r="F103">
        <v>14</v>
      </c>
      <c r="G103">
        <v>5000</v>
      </c>
      <c r="H103">
        <f t="shared" si="2"/>
        <v>70000</v>
      </c>
      <c r="I103">
        <f t="shared" si="3"/>
        <v>67000</v>
      </c>
    </row>
    <row r="104" spans="1:9" x14ac:dyDescent="0.45">
      <c r="A104" s="1">
        <v>45666</v>
      </c>
      <c r="B104" t="s">
        <v>10</v>
      </c>
      <c r="C104" t="s">
        <v>11</v>
      </c>
      <c r="D104" t="s">
        <v>22</v>
      </c>
      <c r="E104">
        <v>4000</v>
      </c>
      <c r="F104">
        <v>16</v>
      </c>
      <c r="G104">
        <v>80000</v>
      </c>
      <c r="H104">
        <f t="shared" si="2"/>
        <v>1280000</v>
      </c>
      <c r="I104">
        <f t="shared" si="3"/>
        <v>1276000</v>
      </c>
    </row>
    <row r="105" spans="1:9" x14ac:dyDescent="0.45">
      <c r="A105" s="1">
        <v>45671</v>
      </c>
      <c r="B105" t="s">
        <v>10</v>
      </c>
      <c r="C105" t="s">
        <v>18</v>
      </c>
      <c r="D105" t="s">
        <v>19</v>
      </c>
      <c r="E105">
        <v>4000</v>
      </c>
      <c r="F105">
        <v>19</v>
      </c>
      <c r="G105">
        <v>120000</v>
      </c>
      <c r="H105">
        <f t="shared" si="2"/>
        <v>2280000</v>
      </c>
      <c r="I105">
        <f t="shared" si="3"/>
        <v>2276000</v>
      </c>
    </row>
    <row r="106" spans="1:9" x14ac:dyDescent="0.45">
      <c r="A106" s="1">
        <v>45690</v>
      </c>
      <c r="B106" t="s">
        <v>7</v>
      </c>
      <c r="C106" t="s">
        <v>17</v>
      </c>
      <c r="D106" t="s">
        <v>12</v>
      </c>
      <c r="E106">
        <v>4000</v>
      </c>
      <c r="F106">
        <v>3</v>
      </c>
      <c r="G106">
        <v>5000</v>
      </c>
      <c r="H106">
        <f t="shared" si="2"/>
        <v>15000</v>
      </c>
      <c r="I106">
        <f t="shared" si="3"/>
        <v>11000</v>
      </c>
    </row>
    <row r="107" spans="1:9" x14ac:dyDescent="0.45">
      <c r="A107" s="1">
        <v>45694</v>
      </c>
      <c r="B107" t="s">
        <v>13</v>
      </c>
      <c r="C107" t="s">
        <v>14</v>
      </c>
      <c r="D107" t="s">
        <v>15</v>
      </c>
      <c r="E107">
        <v>4000</v>
      </c>
      <c r="F107">
        <v>16</v>
      </c>
      <c r="G107">
        <v>120000</v>
      </c>
      <c r="H107">
        <f t="shared" si="2"/>
        <v>1920000</v>
      </c>
      <c r="I107">
        <f t="shared" si="3"/>
        <v>1916000</v>
      </c>
    </row>
    <row r="108" spans="1:9" x14ac:dyDescent="0.45">
      <c r="A108" s="1">
        <v>45720</v>
      </c>
      <c r="B108" t="s">
        <v>10</v>
      </c>
      <c r="C108" t="s">
        <v>21</v>
      </c>
      <c r="D108" t="s">
        <v>12</v>
      </c>
      <c r="E108">
        <v>4000</v>
      </c>
      <c r="F108">
        <v>14</v>
      </c>
      <c r="G108">
        <v>350000</v>
      </c>
      <c r="H108">
        <f t="shared" si="2"/>
        <v>4900000</v>
      </c>
      <c r="I108">
        <f t="shared" si="3"/>
        <v>4896000</v>
      </c>
    </row>
    <row r="109" spans="1:9" x14ac:dyDescent="0.45">
      <c r="A109" s="1">
        <v>45728</v>
      </c>
      <c r="B109" t="s">
        <v>13</v>
      </c>
      <c r="C109" t="s">
        <v>11</v>
      </c>
      <c r="D109" t="s">
        <v>16</v>
      </c>
      <c r="E109">
        <v>4000</v>
      </c>
      <c r="F109">
        <v>16</v>
      </c>
      <c r="G109">
        <v>5000</v>
      </c>
      <c r="H109">
        <f t="shared" si="2"/>
        <v>80000</v>
      </c>
      <c r="I109">
        <f t="shared" si="3"/>
        <v>76000</v>
      </c>
    </row>
    <row r="110" spans="1:9" x14ac:dyDescent="0.45">
      <c r="A110" s="1">
        <v>45746</v>
      </c>
      <c r="B110" t="s">
        <v>7</v>
      </c>
      <c r="C110" t="s">
        <v>8</v>
      </c>
      <c r="D110" t="s">
        <v>19</v>
      </c>
      <c r="E110">
        <v>4000</v>
      </c>
      <c r="F110">
        <v>14</v>
      </c>
      <c r="G110">
        <v>10000</v>
      </c>
      <c r="H110">
        <f t="shared" si="2"/>
        <v>140000</v>
      </c>
      <c r="I110">
        <f t="shared" si="3"/>
        <v>136000</v>
      </c>
    </row>
    <row r="111" spans="1:9" x14ac:dyDescent="0.45">
      <c r="A111" s="1">
        <v>45749</v>
      </c>
      <c r="B111" t="s">
        <v>13</v>
      </c>
      <c r="C111" t="s">
        <v>8</v>
      </c>
      <c r="D111" t="s">
        <v>22</v>
      </c>
      <c r="E111">
        <v>4000</v>
      </c>
      <c r="F111">
        <v>7</v>
      </c>
      <c r="G111">
        <v>10000</v>
      </c>
      <c r="H111">
        <f t="shared" si="2"/>
        <v>70000</v>
      </c>
      <c r="I111">
        <f t="shared" si="3"/>
        <v>66000</v>
      </c>
    </row>
    <row r="112" spans="1:9" x14ac:dyDescent="0.45">
      <c r="A112" s="1">
        <v>45788</v>
      </c>
      <c r="B112" t="s">
        <v>7</v>
      </c>
      <c r="C112" t="s">
        <v>14</v>
      </c>
      <c r="D112" t="s">
        <v>22</v>
      </c>
      <c r="E112">
        <v>4000</v>
      </c>
      <c r="F112">
        <v>13</v>
      </c>
      <c r="G112">
        <v>120000</v>
      </c>
      <c r="H112">
        <f t="shared" si="2"/>
        <v>1560000</v>
      </c>
      <c r="I112">
        <f t="shared" si="3"/>
        <v>1556000</v>
      </c>
    </row>
    <row r="113" spans="1:9" x14ac:dyDescent="0.45">
      <c r="A113" s="1">
        <v>45791</v>
      </c>
      <c r="B113" t="s">
        <v>10</v>
      </c>
      <c r="C113" t="s">
        <v>17</v>
      </c>
      <c r="D113" t="s">
        <v>9</v>
      </c>
      <c r="E113">
        <v>4000</v>
      </c>
      <c r="F113">
        <v>19</v>
      </c>
      <c r="G113">
        <v>10000</v>
      </c>
      <c r="H113">
        <f t="shared" si="2"/>
        <v>190000</v>
      </c>
      <c r="I113">
        <f t="shared" si="3"/>
        <v>186000</v>
      </c>
    </row>
    <row r="114" spans="1:9" x14ac:dyDescent="0.45">
      <c r="A114" s="1">
        <v>45808</v>
      </c>
      <c r="B114" t="s">
        <v>7</v>
      </c>
      <c r="C114" t="s">
        <v>17</v>
      </c>
      <c r="D114" t="s">
        <v>15</v>
      </c>
      <c r="E114">
        <v>4000</v>
      </c>
      <c r="F114">
        <v>12</v>
      </c>
      <c r="G114">
        <v>5000</v>
      </c>
      <c r="H114">
        <f t="shared" si="2"/>
        <v>60000</v>
      </c>
      <c r="I114">
        <f t="shared" si="3"/>
        <v>56000</v>
      </c>
    </row>
    <row r="115" spans="1:9" x14ac:dyDescent="0.45">
      <c r="A115" s="1">
        <v>45820</v>
      </c>
      <c r="B115" t="s">
        <v>13</v>
      </c>
      <c r="C115" t="s">
        <v>8</v>
      </c>
      <c r="D115" t="s">
        <v>9</v>
      </c>
      <c r="E115">
        <v>4000</v>
      </c>
      <c r="F115">
        <v>17</v>
      </c>
      <c r="G115">
        <v>80000</v>
      </c>
      <c r="H115">
        <f t="shared" si="2"/>
        <v>1360000</v>
      </c>
      <c r="I115">
        <f t="shared" si="3"/>
        <v>1356000</v>
      </c>
    </row>
    <row r="116" spans="1:9" x14ac:dyDescent="0.45">
      <c r="A116" s="1">
        <v>45832</v>
      </c>
      <c r="B116" t="s">
        <v>20</v>
      </c>
      <c r="C116" t="s">
        <v>11</v>
      </c>
      <c r="D116" t="s">
        <v>12</v>
      </c>
      <c r="E116">
        <v>4000</v>
      </c>
      <c r="F116">
        <v>5</v>
      </c>
      <c r="G116">
        <v>10000</v>
      </c>
      <c r="H116">
        <f t="shared" si="2"/>
        <v>50000</v>
      </c>
      <c r="I116">
        <f t="shared" si="3"/>
        <v>46000</v>
      </c>
    </row>
    <row r="117" spans="1:9" x14ac:dyDescent="0.45">
      <c r="A117" s="1">
        <v>45659</v>
      </c>
      <c r="B117" t="s">
        <v>7</v>
      </c>
      <c r="C117" t="s">
        <v>17</v>
      </c>
      <c r="D117" t="s">
        <v>9</v>
      </c>
      <c r="E117">
        <v>21000</v>
      </c>
      <c r="F117">
        <v>8</v>
      </c>
      <c r="G117">
        <v>350000</v>
      </c>
      <c r="H117">
        <f t="shared" si="2"/>
        <v>2800000</v>
      </c>
      <c r="I117">
        <f t="shared" si="3"/>
        <v>2779000</v>
      </c>
    </row>
    <row r="118" spans="1:9" x14ac:dyDescent="0.45">
      <c r="A118" s="1">
        <v>45678</v>
      </c>
      <c r="B118" t="s">
        <v>13</v>
      </c>
      <c r="C118" t="s">
        <v>18</v>
      </c>
      <c r="D118" t="s">
        <v>22</v>
      </c>
      <c r="E118">
        <v>21000</v>
      </c>
      <c r="F118">
        <v>4</v>
      </c>
      <c r="G118">
        <v>120000</v>
      </c>
      <c r="H118">
        <f t="shared" si="2"/>
        <v>480000</v>
      </c>
      <c r="I118">
        <f t="shared" si="3"/>
        <v>459000</v>
      </c>
    </row>
    <row r="119" spans="1:9" x14ac:dyDescent="0.45">
      <c r="A119" s="1">
        <v>45712</v>
      </c>
      <c r="B119" t="s">
        <v>13</v>
      </c>
      <c r="C119" t="s">
        <v>11</v>
      </c>
      <c r="D119" t="s">
        <v>15</v>
      </c>
      <c r="E119">
        <v>21000</v>
      </c>
      <c r="F119">
        <v>2</v>
      </c>
      <c r="G119">
        <v>350000</v>
      </c>
      <c r="H119">
        <f t="shared" si="2"/>
        <v>700000</v>
      </c>
      <c r="I119">
        <f t="shared" si="3"/>
        <v>679000</v>
      </c>
    </row>
    <row r="120" spans="1:9" x14ac:dyDescent="0.45">
      <c r="A120" s="1">
        <v>45741</v>
      </c>
      <c r="B120" t="s">
        <v>13</v>
      </c>
      <c r="C120" t="s">
        <v>11</v>
      </c>
      <c r="D120" t="s">
        <v>15</v>
      </c>
      <c r="E120">
        <v>21000</v>
      </c>
      <c r="F120">
        <v>11</v>
      </c>
      <c r="G120">
        <v>5000</v>
      </c>
      <c r="H120">
        <f t="shared" si="2"/>
        <v>55000</v>
      </c>
      <c r="I120">
        <f t="shared" si="3"/>
        <v>34000</v>
      </c>
    </row>
    <row r="121" spans="1:9" x14ac:dyDescent="0.45">
      <c r="A121" s="1">
        <v>45781</v>
      </c>
      <c r="B121" t="s">
        <v>20</v>
      </c>
      <c r="C121" t="s">
        <v>18</v>
      </c>
      <c r="D121" t="s">
        <v>15</v>
      </c>
      <c r="E121">
        <v>21000</v>
      </c>
      <c r="F121">
        <v>1</v>
      </c>
      <c r="G121">
        <v>5000</v>
      </c>
      <c r="H121">
        <f t="shared" si="2"/>
        <v>5000</v>
      </c>
      <c r="I121">
        <f t="shared" si="3"/>
        <v>-16000</v>
      </c>
    </row>
  </sheetData>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Analyze</vt:lpstr>
      <vt:lpstr>Dashboard</vt:lpstr>
      <vt:lpstr>HP_Nigeria_Sales_Data.xlsx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tolas</dc:creator>
  <cp:lastModifiedBy>Ajibade omotola</cp:lastModifiedBy>
  <dcterms:created xsi:type="dcterms:W3CDTF">2025-10-17T07:20:35Z</dcterms:created>
  <dcterms:modified xsi:type="dcterms:W3CDTF">2025-10-18T16:59:57Z</dcterms:modified>
</cp:coreProperties>
</file>