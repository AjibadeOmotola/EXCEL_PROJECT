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c\Home\Downloads\"/>
    </mc:Choice>
  </mc:AlternateContent>
  <xr:revisionPtr revIDLastSave="0" documentId="8_{2391FD99-2518-4CD1-AA6D-98DB08B3090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3" r:id="rId1"/>
    <sheet name="Sheet2" sheetId="4" state="hidden" r:id="rId2"/>
    <sheet name="Sheet3" sheetId="5" state="hidden" r:id="rId3"/>
    <sheet name="Sheet4" sheetId="6" state="hidden" r:id="rId4"/>
    <sheet name="Sheet5" sheetId="7" state="hidden" r:id="rId5"/>
    <sheet name="Sheet6" sheetId="8" state="hidden" r:id="rId6"/>
    <sheet name="Sheet7" sheetId="9" state="hidden" r:id="rId7"/>
    <sheet name="Sheet8" sheetId="10" state="hidden" r:id="rId8"/>
    <sheet name="Sheet9" sheetId="11" state="hidden" r:id="rId9"/>
    <sheet name="Sheet10" sheetId="12" state="hidden" r:id="rId10"/>
    <sheet name="Sales_Data" sheetId="1" r:id="rId11"/>
    <sheet name="Questions" sheetId="2" r:id="rId12"/>
  </sheets>
  <definedNames>
    <definedName name="_xlnm._FilterDatabase" localSheetId="10" hidden="1">Sales_Data!$A$1:$G$121</definedName>
  </definedNames>
  <calcPr calcId="124519"/>
  <pivotCaches>
    <pivotCache cacheId="0" r:id="rId13"/>
  </pivotCaches>
</workbook>
</file>

<file path=xl/sharedStrings.xml><?xml version="1.0" encoding="utf-8"?>
<sst xmlns="http://schemas.openxmlformats.org/spreadsheetml/2006/main" count="614" uniqueCount="72">
  <si>
    <t>Date</t>
  </si>
  <si>
    <t>Region</t>
  </si>
  <si>
    <t>Salesperson</t>
  </si>
  <si>
    <t>Product</t>
  </si>
  <si>
    <t>Units Sold</t>
  </si>
  <si>
    <t>Unit Price</t>
  </si>
  <si>
    <t>Total Sales</t>
  </si>
  <si>
    <t>East</t>
  </si>
  <si>
    <t>South</t>
  </si>
  <si>
    <t>West</t>
  </si>
  <si>
    <t>North</t>
  </si>
  <si>
    <t>Chidi</t>
  </si>
  <si>
    <t>Ada</t>
  </si>
  <si>
    <t>Musa</t>
  </si>
  <si>
    <t>Efe</t>
  </si>
  <si>
    <t>Bola</t>
  </si>
  <si>
    <t>Grace</t>
  </si>
  <si>
    <t>Headset</t>
  </si>
  <si>
    <t>Printer</t>
  </si>
  <si>
    <t>Mouse</t>
  </si>
  <si>
    <t>Monitor</t>
  </si>
  <si>
    <t>Keyboard</t>
  </si>
  <si>
    <t>Laptop</t>
  </si>
  <si>
    <t>PivotTable Questions</t>
  </si>
  <si>
    <t>1. Create a PivotTable showing Total Sales by Region. Which region recorded the highest total sales?</t>
  </si>
  <si>
    <t>2. Create a PivotTable showing Total Units Sold by Salesperson. Which salesperson sold the most items overall?</t>
  </si>
  <si>
    <t>3. Create a PivotTable showing Total Sales per Product. Which product generated the least revenue?</t>
  </si>
  <si>
    <t>4. Create a PivotTable with Salesperson as Rows, Product as Columns, and Total Sales as Values. Who made the highest Laptop sales?</t>
  </si>
  <si>
    <t>5. Add Month (from Date) as a filter to your PivotTable. What was the total Mouse sales for February across all regions?</t>
  </si>
  <si>
    <t>6. Create a PivotTable showing Average Unit Price per Product. What is the average selling price of all Monitors?</t>
  </si>
  <si>
    <t>7. Create a PivotTable showing Total Sales by Region and Month. Which region had the highest sales in March?</t>
  </si>
  <si>
    <t>8. Create a PivotTable showing Total Sales by Product and Region. In which region were Keyboard sales highest?</t>
  </si>
  <si>
    <t>9. Create a PivotTable showing Total Sales and Total Units Sold by Salesperson. Who generated the highest sales per unit sold?</t>
  </si>
  <si>
    <t>10. Insert a PivotChart based on your PivotTable from Question 1. What insights can you derive visually about regional performance?</t>
  </si>
  <si>
    <t>Row Labels</t>
  </si>
  <si>
    <t>Grand Total</t>
  </si>
  <si>
    <t>Column Labels</t>
  </si>
  <si>
    <t>Sum of Units Sold</t>
  </si>
  <si>
    <t>Sum of Total Sales</t>
  </si>
  <si>
    <t>(All)</t>
  </si>
  <si>
    <t>Average of Unit Price</t>
  </si>
  <si>
    <t>Jan</t>
  </si>
  <si>
    <t>Feb</t>
  </si>
  <si>
    <t>Mar</t>
  </si>
  <si>
    <t>Apr</t>
  </si>
  <si>
    <t>May</t>
  </si>
  <si>
    <t>Jun</t>
  </si>
  <si>
    <t>KEYBOARD Generated Least Revenue</t>
  </si>
  <si>
    <t>EAST Region Recorded Highest Total Sales</t>
  </si>
  <si>
    <t>CHIDI Sold The Most Items Overall</t>
  </si>
  <si>
    <t>MOUSE Sales For FEBRYARY Across REGION Is = 1330000</t>
  </si>
  <si>
    <t>AVERAGE Selling Price For All MONITORS = 8000</t>
  </si>
  <si>
    <t>ADA Generated Highest Sales Per Unit Sold</t>
  </si>
  <si>
    <t>EAST is the Top performer while WEST is the Lowest</t>
  </si>
  <si>
    <t>WEST Still have Opportunity to Improve</t>
  </si>
  <si>
    <t>Question1:Sales by Region</t>
  </si>
  <si>
    <t>Group1</t>
  </si>
  <si>
    <t>Group1 Total</t>
  </si>
  <si>
    <t>Group2</t>
  </si>
  <si>
    <t>Group2 Total</t>
  </si>
  <si>
    <t>Question2:Total Units Sold By a Sales Person</t>
  </si>
  <si>
    <t>Question3:Total Sales by Product</t>
  </si>
  <si>
    <t>Question4:Highest Sales of a Particular Product</t>
  </si>
  <si>
    <t>Ada  Made The Highest LAPTOP Sales</t>
  </si>
  <si>
    <t>Question5:Total Sales For Mouse Across Regions</t>
  </si>
  <si>
    <t>Question6:Avarage Unit Per Price Per Product</t>
  </si>
  <si>
    <t>Question7:Total Sales By Region And Month</t>
  </si>
  <si>
    <t>South Has The Highest Sales In March</t>
  </si>
  <si>
    <t>Question8:Product And Region</t>
  </si>
  <si>
    <t>KEYBOARD Sales Is Highest In NORTH</t>
  </si>
  <si>
    <t>Question10:Regional Performance</t>
  </si>
  <si>
    <t>Question9:Total Sales And Units Sold by a 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</si>
</sst>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3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[PivotTable.xlsx]Sheet1!PivotTable32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Sheet1!$B$5:$B$9</c:f>
              <c:numCache>
                <c:formatCode>General</c:formatCode>
                <c:ptCount val="4"/>
                <c:pt idx="0">
                  <c:v>29625000</c:v>
                </c:pt>
                <c:pt idx="1">
                  <c:v>24510000</c:v>
                </c:pt>
                <c:pt idx="2">
                  <c:v>24695000</c:v>
                </c:pt>
                <c:pt idx="3">
                  <c:v>21395000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9-4A3A-A84D-5C4E8EBDC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182479"/>
        <c:axId val="2132181519"/>
      </c:barChart>
      <c:catAx>
        <c:axId val="2132182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181519"/>
        <c:crosses val="autoZero"/>
        <c:auto val="1"/>
        <c:lblAlgn val="ctr"/>
        <c:lblOffset val="100"/>
        <c:noMultiLvlLbl val="0"/>
      </c:catAx>
      <c:valAx>
        <c:axId val="213218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182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19050</xdr:rowOff>
    </xdr:from>
    <xdr:to>
      <xdr:col>6</xdr:col>
      <xdr:colOff>57150</xdr:colOff>
      <xdr:row>34</xdr:row>
      <xdr:rowOff>23813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8B4F9C-FA98-45F9-5B08-8A93D28EC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las" refreshedDate="45944.671562615738" createdVersion="8" refreshedVersion="8" minRefreshableVersion="3" recordCount="120" xr:uid="{FA5E59F3-2949-4124-88F1-55A45A3B140C}">
  <cacheSource type="worksheet">
    <worksheetSource ref="A1:G121" sheet="Sales_Data"/>
  </cacheSource>
  <cacheFields count="11">
    <cacheField name="Date" numFmtId="164">
      <sharedItems containsSemiMixedTypes="0" containsNonDate="0" containsDate="1" containsString="0" minDate="2025-01-02T00:00:00" maxDate="2025-06-30T00:00:00" count="85">
        <d v="2025-01-02T00:00:00"/>
        <d v="2025-01-04T00:00:00"/>
        <d v="2025-01-05T00:00:00"/>
        <d v="2025-01-08T00:00:00"/>
        <d v="2025-01-09T00:00:00"/>
        <d v="2025-01-12T00:00:00"/>
        <d v="2025-01-14T00:00:00"/>
        <d v="2025-01-15T00:00:00"/>
        <d v="2025-01-18T00:00:00"/>
        <d v="2025-01-21T00:00:00"/>
        <d v="2025-01-22T00:00:00"/>
        <d v="2025-01-24T00:00:00"/>
        <d v="2025-01-28T00:00:00"/>
        <d v="2025-02-02T00:00:00"/>
        <d v="2025-02-04T00:00:00"/>
        <d v="2025-02-06T00:00:00"/>
        <d v="2025-02-07T00:00:00"/>
        <d v="2025-02-09T00:00:00"/>
        <d v="2025-02-10T00:00:00"/>
        <d v="2025-02-13T00:00:00"/>
        <d v="2025-02-14T00:00:00"/>
        <d v="2025-02-17T00:00:00"/>
        <d v="2025-02-18T00:00:00"/>
        <d v="2025-02-19T00:00:00"/>
        <d v="2025-02-20T00:00:00"/>
        <d v="2025-02-22T00:00:00"/>
        <d v="2025-02-23T00:00:00"/>
        <d v="2025-02-24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12T00:00:00"/>
        <d v="2025-03-13T00:00:00"/>
        <d v="2025-03-14T00:00:00"/>
        <d v="2025-03-16T00:00:00"/>
        <d v="2025-03-22T00:00:00"/>
        <d v="2025-03-23T00:00:00"/>
        <d v="2025-03-25T00:00:00"/>
        <d v="2025-03-29T00:00:00"/>
        <d v="2025-03-30T00:00:00"/>
        <d v="2025-03-31T00:00:00"/>
        <d v="2025-04-02T00:00:00"/>
        <d v="2025-04-03T00:00:00"/>
        <d v="2025-04-05T00:00:00"/>
        <d v="2025-04-09T00:00:00"/>
        <d v="2025-04-10T00:00:00"/>
        <d v="2025-04-11T00:00:00"/>
        <d v="2025-04-13T00:00:00"/>
        <d v="2025-04-14T00:00:00"/>
        <d v="2025-04-16T00:00:00"/>
        <d v="2025-04-17T00:00:00"/>
        <d v="2025-04-18T00:00:00"/>
        <d v="2025-04-21T00:00:00"/>
        <d v="2025-04-27T00:00:00"/>
        <d v="2025-05-02T00:00:00"/>
        <d v="2025-05-03T00:00:00"/>
        <d v="2025-05-04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9T00:00:00"/>
        <d v="2025-05-26T00:00:00"/>
        <d v="2025-05-30T00:00:00"/>
        <d v="2025-05-31T00:00:00"/>
        <d v="2025-06-01T00:00:00"/>
        <d v="2025-06-03T00:00:00"/>
        <d v="2025-06-06T00:00:00"/>
        <d v="2025-06-07T00:00:00"/>
        <d v="2025-06-10T00:00:00"/>
        <d v="2025-06-11T00:00:00"/>
        <d v="2025-06-12T00:00:00"/>
        <d v="2025-06-13T00:00:00"/>
        <d v="2025-06-16T00:00:00"/>
        <d v="2025-06-19T00:00:00"/>
        <d v="2025-06-21T00:00:00"/>
        <d v="2025-06-24T00:00:00"/>
        <d v="2025-06-29T00:00:00"/>
      </sharedItems>
      <fieldGroup par="8"/>
    </cacheField>
    <cacheField name="Region" numFmtId="0">
      <sharedItems count="4">
        <s v="East"/>
        <s v="South"/>
        <s v="West"/>
        <s v="North"/>
      </sharedItems>
      <fieldGroup par="10"/>
    </cacheField>
    <cacheField name="Salesperson" numFmtId="0">
      <sharedItems count="6">
        <s v="Chidi"/>
        <s v="Ada"/>
        <s v="Musa"/>
        <s v="Efe"/>
        <s v="Bola"/>
        <s v="Grace"/>
      </sharedItems>
    </cacheField>
    <cacheField name="Product" numFmtId="0">
      <sharedItems count="6">
        <s v="Headset"/>
        <s v="Printer"/>
        <s v="Mouse"/>
        <s v="Monitor"/>
        <s v="Keyboard"/>
        <s v="Laptop"/>
      </sharedItems>
      <fieldGroup par="9"/>
    </cacheField>
    <cacheField name="Units Sold" numFmtId="0">
      <sharedItems containsSemiMixedTypes="0" containsString="0" containsNumber="1" containsInteger="1" minValue="1" maxValue="19" count="18">
        <n v="15"/>
        <n v="18"/>
        <n v="10"/>
        <n v="12"/>
        <n v="19"/>
        <n v="7"/>
        <n v="1"/>
        <n v="4"/>
        <n v="2"/>
        <n v="11"/>
        <n v="13"/>
        <n v="16"/>
        <n v="9"/>
        <n v="17"/>
        <n v="3"/>
        <n v="5"/>
        <n v="14"/>
        <n v="8"/>
      </sharedItems>
    </cacheField>
    <cacheField name="Unit Price" numFmtId="0">
      <sharedItems containsSemiMixedTypes="0" containsString="0" containsNumber="1" containsInteger="1" minValue="5000" maxValue="350000" count="6">
        <n v="15000"/>
        <n v="120000"/>
        <n v="5000"/>
        <n v="80000"/>
        <n v="10000"/>
        <n v="350000"/>
      </sharedItems>
    </cacheField>
    <cacheField name="Total Sales" numFmtId="0">
      <sharedItems containsSemiMixedTypes="0" containsString="0" containsNumber="1" containsInteger="1" minValue="5000" maxValue="6650000"/>
    </cacheField>
    <cacheField name="Days (Date)" numFmtId="0" databaseField="0">
      <fieldGroup base="0">
        <rangePr groupBy="days" startDate="2025-01-02T00:00:00" endDate="2025-06-30T00:00:00"/>
        <groupItems count="368">
          <s v="&lt;1/2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30/2025"/>
        </groupItems>
      </fieldGroup>
    </cacheField>
    <cacheField name="Months (Date)" numFmtId="0" databaseField="0">
      <fieldGroup base="0">
        <rangePr groupBy="months" startDate="2025-01-02T00:00:00" endDate="2025-06-30T00:00:00"/>
        <groupItems count="14">
          <s v="&lt;1/2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30/2025"/>
        </groupItems>
      </fieldGroup>
    </cacheField>
    <cacheField name="Product2" numFmtId="0" databaseField="0">
      <fieldGroup base="3">
        <discretePr count="6">
          <x v="0"/>
          <x v="1"/>
          <x v="1"/>
          <x v="1"/>
          <x v="0"/>
          <x v="0"/>
        </discretePr>
        <groupItems count="2">
          <s v="Group1"/>
          <s v="Group2"/>
        </groupItems>
      </fieldGroup>
    </cacheField>
    <cacheField name="Region2" numFmtId="0" databaseField="0">
      <fieldGroup base="1">
        <discretePr count="4">
          <x v="0"/>
          <x v="1"/>
          <x v="1"/>
          <x v="0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x v="0"/>
    <x v="0"/>
    <x v="0"/>
    <x v="0"/>
    <x v="0"/>
    <n v="225000"/>
  </r>
  <r>
    <x v="0"/>
    <x v="1"/>
    <x v="0"/>
    <x v="1"/>
    <x v="1"/>
    <x v="1"/>
    <n v="2160000"/>
  </r>
  <r>
    <x v="1"/>
    <x v="0"/>
    <x v="1"/>
    <x v="2"/>
    <x v="2"/>
    <x v="2"/>
    <n v="50000"/>
  </r>
  <r>
    <x v="2"/>
    <x v="1"/>
    <x v="2"/>
    <x v="3"/>
    <x v="3"/>
    <x v="3"/>
    <n v="960000"/>
  </r>
  <r>
    <x v="3"/>
    <x v="1"/>
    <x v="2"/>
    <x v="0"/>
    <x v="2"/>
    <x v="0"/>
    <n v="150000"/>
  </r>
  <r>
    <x v="4"/>
    <x v="2"/>
    <x v="1"/>
    <x v="2"/>
    <x v="3"/>
    <x v="2"/>
    <n v="60000"/>
  </r>
  <r>
    <x v="4"/>
    <x v="3"/>
    <x v="3"/>
    <x v="4"/>
    <x v="4"/>
    <x v="4"/>
    <n v="190000"/>
  </r>
  <r>
    <x v="5"/>
    <x v="2"/>
    <x v="2"/>
    <x v="5"/>
    <x v="5"/>
    <x v="5"/>
    <n v="2450000"/>
  </r>
  <r>
    <x v="6"/>
    <x v="3"/>
    <x v="0"/>
    <x v="5"/>
    <x v="6"/>
    <x v="5"/>
    <n v="350000"/>
  </r>
  <r>
    <x v="6"/>
    <x v="3"/>
    <x v="2"/>
    <x v="5"/>
    <x v="7"/>
    <x v="5"/>
    <n v="1400000"/>
  </r>
  <r>
    <x v="7"/>
    <x v="3"/>
    <x v="4"/>
    <x v="4"/>
    <x v="8"/>
    <x v="4"/>
    <n v="20000"/>
  </r>
  <r>
    <x v="7"/>
    <x v="1"/>
    <x v="0"/>
    <x v="0"/>
    <x v="9"/>
    <x v="0"/>
    <n v="165000"/>
  </r>
  <r>
    <x v="7"/>
    <x v="3"/>
    <x v="4"/>
    <x v="3"/>
    <x v="7"/>
    <x v="3"/>
    <n v="320000"/>
  </r>
  <r>
    <x v="7"/>
    <x v="2"/>
    <x v="2"/>
    <x v="4"/>
    <x v="7"/>
    <x v="4"/>
    <n v="40000"/>
  </r>
  <r>
    <x v="8"/>
    <x v="1"/>
    <x v="1"/>
    <x v="3"/>
    <x v="3"/>
    <x v="3"/>
    <n v="960000"/>
  </r>
  <r>
    <x v="9"/>
    <x v="0"/>
    <x v="4"/>
    <x v="5"/>
    <x v="10"/>
    <x v="5"/>
    <n v="4550000"/>
  </r>
  <r>
    <x v="9"/>
    <x v="0"/>
    <x v="0"/>
    <x v="3"/>
    <x v="11"/>
    <x v="3"/>
    <n v="1280000"/>
  </r>
  <r>
    <x v="9"/>
    <x v="2"/>
    <x v="2"/>
    <x v="4"/>
    <x v="11"/>
    <x v="4"/>
    <n v="160000"/>
  </r>
  <r>
    <x v="10"/>
    <x v="2"/>
    <x v="3"/>
    <x v="2"/>
    <x v="7"/>
    <x v="2"/>
    <n v="20000"/>
  </r>
  <r>
    <x v="11"/>
    <x v="3"/>
    <x v="5"/>
    <x v="5"/>
    <x v="12"/>
    <x v="5"/>
    <n v="3150000"/>
  </r>
  <r>
    <x v="12"/>
    <x v="3"/>
    <x v="2"/>
    <x v="3"/>
    <x v="4"/>
    <x v="3"/>
    <n v="1520000"/>
  </r>
  <r>
    <x v="13"/>
    <x v="0"/>
    <x v="0"/>
    <x v="2"/>
    <x v="4"/>
    <x v="2"/>
    <n v="95000"/>
  </r>
  <r>
    <x v="13"/>
    <x v="1"/>
    <x v="0"/>
    <x v="2"/>
    <x v="13"/>
    <x v="2"/>
    <n v="85000"/>
  </r>
  <r>
    <x v="14"/>
    <x v="2"/>
    <x v="3"/>
    <x v="2"/>
    <x v="5"/>
    <x v="2"/>
    <n v="35000"/>
  </r>
  <r>
    <x v="14"/>
    <x v="2"/>
    <x v="5"/>
    <x v="3"/>
    <x v="3"/>
    <x v="3"/>
    <n v="960000"/>
  </r>
  <r>
    <x v="15"/>
    <x v="2"/>
    <x v="4"/>
    <x v="3"/>
    <x v="14"/>
    <x v="3"/>
    <n v="240000"/>
  </r>
  <r>
    <x v="16"/>
    <x v="0"/>
    <x v="3"/>
    <x v="1"/>
    <x v="15"/>
    <x v="1"/>
    <n v="600000"/>
  </r>
  <r>
    <x v="17"/>
    <x v="2"/>
    <x v="2"/>
    <x v="1"/>
    <x v="7"/>
    <x v="1"/>
    <n v="480000"/>
  </r>
  <r>
    <x v="18"/>
    <x v="1"/>
    <x v="4"/>
    <x v="1"/>
    <x v="14"/>
    <x v="1"/>
    <n v="360000"/>
  </r>
  <r>
    <x v="18"/>
    <x v="0"/>
    <x v="2"/>
    <x v="2"/>
    <x v="12"/>
    <x v="2"/>
    <n v="45000"/>
  </r>
  <r>
    <x v="19"/>
    <x v="2"/>
    <x v="1"/>
    <x v="1"/>
    <x v="12"/>
    <x v="1"/>
    <n v="1080000"/>
  </r>
  <r>
    <x v="20"/>
    <x v="0"/>
    <x v="0"/>
    <x v="2"/>
    <x v="1"/>
    <x v="2"/>
    <n v="90000"/>
  </r>
  <r>
    <x v="21"/>
    <x v="3"/>
    <x v="2"/>
    <x v="3"/>
    <x v="0"/>
    <x v="3"/>
    <n v="1200000"/>
  </r>
  <r>
    <x v="21"/>
    <x v="0"/>
    <x v="2"/>
    <x v="1"/>
    <x v="10"/>
    <x v="1"/>
    <n v="1560000"/>
  </r>
  <r>
    <x v="22"/>
    <x v="3"/>
    <x v="0"/>
    <x v="0"/>
    <x v="15"/>
    <x v="0"/>
    <n v="75000"/>
  </r>
  <r>
    <x v="23"/>
    <x v="2"/>
    <x v="1"/>
    <x v="0"/>
    <x v="16"/>
    <x v="0"/>
    <n v="210000"/>
  </r>
  <r>
    <x v="24"/>
    <x v="0"/>
    <x v="0"/>
    <x v="3"/>
    <x v="2"/>
    <x v="3"/>
    <n v="800000"/>
  </r>
  <r>
    <x v="24"/>
    <x v="0"/>
    <x v="4"/>
    <x v="3"/>
    <x v="7"/>
    <x v="3"/>
    <n v="320000"/>
  </r>
  <r>
    <x v="25"/>
    <x v="3"/>
    <x v="2"/>
    <x v="5"/>
    <x v="15"/>
    <x v="5"/>
    <n v="1750000"/>
  </r>
  <r>
    <x v="25"/>
    <x v="2"/>
    <x v="1"/>
    <x v="0"/>
    <x v="15"/>
    <x v="0"/>
    <n v="75000"/>
  </r>
  <r>
    <x v="25"/>
    <x v="1"/>
    <x v="1"/>
    <x v="1"/>
    <x v="15"/>
    <x v="1"/>
    <n v="600000"/>
  </r>
  <r>
    <x v="26"/>
    <x v="3"/>
    <x v="3"/>
    <x v="2"/>
    <x v="13"/>
    <x v="2"/>
    <n v="85000"/>
  </r>
  <r>
    <x v="26"/>
    <x v="1"/>
    <x v="3"/>
    <x v="3"/>
    <x v="8"/>
    <x v="3"/>
    <n v="160000"/>
  </r>
  <r>
    <x v="27"/>
    <x v="2"/>
    <x v="3"/>
    <x v="3"/>
    <x v="6"/>
    <x v="3"/>
    <n v="80000"/>
  </r>
  <r>
    <x v="28"/>
    <x v="2"/>
    <x v="0"/>
    <x v="5"/>
    <x v="5"/>
    <x v="5"/>
    <n v="2450000"/>
  </r>
  <r>
    <x v="29"/>
    <x v="0"/>
    <x v="3"/>
    <x v="5"/>
    <x v="2"/>
    <x v="5"/>
    <n v="3500000"/>
  </r>
  <r>
    <x v="30"/>
    <x v="1"/>
    <x v="4"/>
    <x v="5"/>
    <x v="6"/>
    <x v="5"/>
    <n v="350000"/>
  </r>
  <r>
    <x v="31"/>
    <x v="1"/>
    <x v="0"/>
    <x v="0"/>
    <x v="15"/>
    <x v="0"/>
    <n v="75000"/>
  </r>
  <r>
    <x v="32"/>
    <x v="3"/>
    <x v="5"/>
    <x v="2"/>
    <x v="12"/>
    <x v="2"/>
    <n v="45000"/>
  </r>
  <r>
    <x v="33"/>
    <x v="3"/>
    <x v="1"/>
    <x v="4"/>
    <x v="15"/>
    <x v="4"/>
    <n v="50000"/>
  </r>
  <r>
    <x v="34"/>
    <x v="0"/>
    <x v="5"/>
    <x v="0"/>
    <x v="13"/>
    <x v="0"/>
    <n v="255000"/>
  </r>
  <r>
    <x v="35"/>
    <x v="2"/>
    <x v="3"/>
    <x v="0"/>
    <x v="15"/>
    <x v="0"/>
    <n v="75000"/>
  </r>
  <r>
    <x v="36"/>
    <x v="1"/>
    <x v="3"/>
    <x v="4"/>
    <x v="17"/>
    <x v="4"/>
    <n v="80000"/>
  </r>
  <r>
    <x v="36"/>
    <x v="3"/>
    <x v="2"/>
    <x v="4"/>
    <x v="12"/>
    <x v="4"/>
    <n v="90000"/>
  </r>
  <r>
    <x v="37"/>
    <x v="1"/>
    <x v="3"/>
    <x v="4"/>
    <x v="8"/>
    <x v="4"/>
    <n v="20000"/>
  </r>
  <r>
    <x v="38"/>
    <x v="0"/>
    <x v="0"/>
    <x v="2"/>
    <x v="5"/>
    <x v="2"/>
    <n v="35000"/>
  </r>
  <r>
    <x v="39"/>
    <x v="1"/>
    <x v="5"/>
    <x v="5"/>
    <x v="10"/>
    <x v="5"/>
    <n v="4550000"/>
  </r>
  <r>
    <x v="39"/>
    <x v="3"/>
    <x v="0"/>
    <x v="0"/>
    <x v="13"/>
    <x v="0"/>
    <n v="255000"/>
  </r>
  <r>
    <x v="40"/>
    <x v="0"/>
    <x v="1"/>
    <x v="3"/>
    <x v="7"/>
    <x v="3"/>
    <n v="320000"/>
  </r>
  <r>
    <x v="41"/>
    <x v="2"/>
    <x v="3"/>
    <x v="3"/>
    <x v="14"/>
    <x v="3"/>
    <n v="240000"/>
  </r>
  <r>
    <x v="42"/>
    <x v="2"/>
    <x v="3"/>
    <x v="2"/>
    <x v="13"/>
    <x v="2"/>
    <n v="85000"/>
  </r>
  <r>
    <x v="42"/>
    <x v="0"/>
    <x v="1"/>
    <x v="0"/>
    <x v="13"/>
    <x v="0"/>
    <n v="255000"/>
  </r>
  <r>
    <x v="42"/>
    <x v="0"/>
    <x v="0"/>
    <x v="1"/>
    <x v="15"/>
    <x v="1"/>
    <n v="600000"/>
  </r>
  <r>
    <x v="43"/>
    <x v="1"/>
    <x v="3"/>
    <x v="0"/>
    <x v="6"/>
    <x v="0"/>
    <n v="15000"/>
  </r>
  <r>
    <x v="43"/>
    <x v="1"/>
    <x v="1"/>
    <x v="5"/>
    <x v="5"/>
    <x v="5"/>
    <n v="2450000"/>
  </r>
  <r>
    <x v="43"/>
    <x v="3"/>
    <x v="2"/>
    <x v="5"/>
    <x v="14"/>
    <x v="5"/>
    <n v="1050000"/>
  </r>
  <r>
    <x v="44"/>
    <x v="1"/>
    <x v="4"/>
    <x v="1"/>
    <x v="9"/>
    <x v="1"/>
    <n v="1320000"/>
  </r>
  <r>
    <x v="45"/>
    <x v="2"/>
    <x v="1"/>
    <x v="4"/>
    <x v="6"/>
    <x v="4"/>
    <n v="10000"/>
  </r>
  <r>
    <x v="46"/>
    <x v="0"/>
    <x v="2"/>
    <x v="0"/>
    <x v="0"/>
    <x v="0"/>
    <n v="225000"/>
  </r>
  <r>
    <x v="47"/>
    <x v="0"/>
    <x v="3"/>
    <x v="3"/>
    <x v="1"/>
    <x v="3"/>
    <n v="1440000"/>
  </r>
  <r>
    <x v="48"/>
    <x v="1"/>
    <x v="5"/>
    <x v="0"/>
    <x v="3"/>
    <x v="0"/>
    <n v="180000"/>
  </r>
  <r>
    <x v="49"/>
    <x v="0"/>
    <x v="2"/>
    <x v="1"/>
    <x v="3"/>
    <x v="1"/>
    <n v="1440000"/>
  </r>
  <r>
    <x v="50"/>
    <x v="3"/>
    <x v="1"/>
    <x v="0"/>
    <x v="10"/>
    <x v="0"/>
    <n v="195000"/>
  </r>
  <r>
    <x v="51"/>
    <x v="0"/>
    <x v="1"/>
    <x v="0"/>
    <x v="6"/>
    <x v="0"/>
    <n v="15000"/>
  </r>
  <r>
    <x v="51"/>
    <x v="0"/>
    <x v="2"/>
    <x v="5"/>
    <x v="6"/>
    <x v="5"/>
    <n v="350000"/>
  </r>
  <r>
    <x v="52"/>
    <x v="0"/>
    <x v="5"/>
    <x v="0"/>
    <x v="11"/>
    <x v="0"/>
    <n v="240000"/>
  </r>
  <r>
    <x v="52"/>
    <x v="3"/>
    <x v="1"/>
    <x v="2"/>
    <x v="8"/>
    <x v="2"/>
    <n v="10000"/>
  </r>
  <r>
    <x v="52"/>
    <x v="3"/>
    <x v="1"/>
    <x v="5"/>
    <x v="11"/>
    <x v="5"/>
    <n v="5600000"/>
  </r>
  <r>
    <x v="53"/>
    <x v="3"/>
    <x v="2"/>
    <x v="4"/>
    <x v="17"/>
    <x v="4"/>
    <n v="80000"/>
  </r>
  <r>
    <x v="54"/>
    <x v="3"/>
    <x v="5"/>
    <x v="2"/>
    <x v="11"/>
    <x v="2"/>
    <n v="80000"/>
  </r>
  <r>
    <x v="55"/>
    <x v="3"/>
    <x v="3"/>
    <x v="1"/>
    <x v="4"/>
    <x v="1"/>
    <n v="2280000"/>
  </r>
  <r>
    <x v="56"/>
    <x v="3"/>
    <x v="0"/>
    <x v="3"/>
    <x v="2"/>
    <x v="3"/>
    <n v="800000"/>
  </r>
  <r>
    <x v="56"/>
    <x v="2"/>
    <x v="4"/>
    <x v="3"/>
    <x v="6"/>
    <x v="3"/>
    <n v="80000"/>
  </r>
  <r>
    <x v="57"/>
    <x v="3"/>
    <x v="1"/>
    <x v="0"/>
    <x v="14"/>
    <x v="0"/>
    <n v="45000"/>
  </r>
  <r>
    <x v="58"/>
    <x v="1"/>
    <x v="3"/>
    <x v="2"/>
    <x v="11"/>
    <x v="2"/>
    <n v="80000"/>
  </r>
  <r>
    <x v="59"/>
    <x v="0"/>
    <x v="0"/>
    <x v="0"/>
    <x v="7"/>
    <x v="0"/>
    <n v="60000"/>
  </r>
  <r>
    <x v="60"/>
    <x v="0"/>
    <x v="2"/>
    <x v="3"/>
    <x v="13"/>
    <x v="3"/>
    <n v="1360000"/>
  </r>
  <r>
    <x v="61"/>
    <x v="3"/>
    <x v="1"/>
    <x v="2"/>
    <x v="10"/>
    <x v="2"/>
    <n v="65000"/>
  </r>
  <r>
    <x v="62"/>
    <x v="3"/>
    <x v="0"/>
    <x v="0"/>
    <x v="3"/>
    <x v="0"/>
    <n v="180000"/>
  </r>
  <r>
    <x v="62"/>
    <x v="2"/>
    <x v="3"/>
    <x v="3"/>
    <x v="3"/>
    <x v="3"/>
    <n v="960000"/>
  </r>
  <r>
    <x v="63"/>
    <x v="2"/>
    <x v="1"/>
    <x v="1"/>
    <x v="10"/>
    <x v="1"/>
    <n v="1560000"/>
  </r>
  <r>
    <x v="63"/>
    <x v="1"/>
    <x v="4"/>
    <x v="4"/>
    <x v="15"/>
    <x v="4"/>
    <n v="50000"/>
  </r>
  <r>
    <x v="64"/>
    <x v="1"/>
    <x v="4"/>
    <x v="3"/>
    <x v="1"/>
    <x v="3"/>
    <n v="1440000"/>
  </r>
  <r>
    <x v="64"/>
    <x v="0"/>
    <x v="0"/>
    <x v="5"/>
    <x v="4"/>
    <x v="5"/>
    <n v="6650000"/>
  </r>
  <r>
    <x v="65"/>
    <x v="3"/>
    <x v="0"/>
    <x v="1"/>
    <x v="14"/>
    <x v="1"/>
    <n v="360000"/>
  </r>
  <r>
    <x v="66"/>
    <x v="0"/>
    <x v="1"/>
    <x v="1"/>
    <x v="11"/>
    <x v="1"/>
    <n v="1920000"/>
  </r>
  <r>
    <x v="66"/>
    <x v="3"/>
    <x v="2"/>
    <x v="1"/>
    <x v="3"/>
    <x v="1"/>
    <n v="1440000"/>
  </r>
  <r>
    <x v="67"/>
    <x v="2"/>
    <x v="2"/>
    <x v="0"/>
    <x v="14"/>
    <x v="0"/>
    <n v="45000"/>
  </r>
  <r>
    <x v="67"/>
    <x v="1"/>
    <x v="1"/>
    <x v="2"/>
    <x v="11"/>
    <x v="2"/>
    <n v="80000"/>
  </r>
  <r>
    <x v="68"/>
    <x v="1"/>
    <x v="3"/>
    <x v="1"/>
    <x v="13"/>
    <x v="1"/>
    <n v="2040000"/>
  </r>
  <r>
    <x v="69"/>
    <x v="3"/>
    <x v="0"/>
    <x v="3"/>
    <x v="4"/>
    <x v="3"/>
    <n v="1520000"/>
  </r>
  <r>
    <x v="70"/>
    <x v="2"/>
    <x v="2"/>
    <x v="2"/>
    <x v="16"/>
    <x v="2"/>
    <n v="70000"/>
  </r>
  <r>
    <x v="71"/>
    <x v="1"/>
    <x v="0"/>
    <x v="3"/>
    <x v="11"/>
    <x v="3"/>
    <n v="1280000"/>
  </r>
  <r>
    <x v="72"/>
    <x v="1"/>
    <x v="3"/>
    <x v="1"/>
    <x v="4"/>
    <x v="1"/>
    <n v="2280000"/>
  </r>
  <r>
    <x v="73"/>
    <x v="3"/>
    <x v="4"/>
    <x v="2"/>
    <x v="14"/>
    <x v="2"/>
    <n v="15000"/>
  </r>
  <r>
    <x v="74"/>
    <x v="2"/>
    <x v="4"/>
    <x v="1"/>
    <x v="11"/>
    <x v="1"/>
    <n v="1920000"/>
  </r>
  <r>
    <x v="75"/>
    <x v="2"/>
    <x v="1"/>
    <x v="5"/>
    <x v="16"/>
    <x v="5"/>
    <n v="4900000"/>
  </r>
  <r>
    <x v="76"/>
    <x v="3"/>
    <x v="5"/>
    <x v="2"/>
    <x v="11"/>
    <x v="2"/>
    <n v="80000"/>
  </r>
  <r>
    <x v="77"/>
    <x v="3"/>
    <x v="5"/>
    <x v="4"/>
    <x v="16"/>
    <x v="4"/>
    <n v="140000"/>
  </r>
  <r>
    <x v="77"/>
    <x v="3"/>
    <x v="3"/>
    <x v="4"/>
    <x v="5"/>
    <x v="4"/>
    <n v="70000"/>
  </r>
  <r>
    <x v="78"/>
    <x v="2"/>
    <x v="1"/>
    <x v="1"/>
    <x v="10"/>
    <x v="1"/>
    <n v="1560000"/>
  </r>
  <r>
    <x v="78"/>
    <x v="2"/>
    <x v="3"/>
    <x v="4"/>
    <x v="4"/>
    <x v="4"/>
    <n v="190000"/>
  </r>
  <r>
    <x v="79"/>
    <x v="0"/>
    <x v="0"/>
    <x v="2"/>
    <x v="3"/>
    <x v="2"/>
    <n v="60000"/>
  </r>
  <r>
    <x v="80"/>
    <x v="2"/>
    <x v="1"/>
    <x v="3"/>
    <x v="13"/>
    <x v="3"/>
    <n v="1360000"/>
  </r>
  <r>
    <x v="81"/>
    <x v="0"/>
    <x v="0"/>
    <x v="4"/>
    <x v="15"/>
    <x v="4"/>
    <n v="50000"/>
  </r>
  <r>
    <x v="82"/>
    <x v="1"/>
    <x v="1"/>
    <x v="5"/>
    <x v="17"/>
    <x v="5"/>
    <n v="2800000"/>
  </r>
  <r>
    <x v="82"/>
    <x v="0"/>
    <x v="2"/>
    <x v="1"/>
    <x v="7"/>
    <x v="1"/>
    <n v="480000"/>
  </r>
  <r>
    <x v="83"/>
    <x v="0"/>
    <x v="0"/>
    <x v="5"/>
    <x v="8"/>
    <x v="5"/>
    <n v="700000"/>
  </r>
  <r>
    <x v="83"/>
    <x v="0"/>
    <x v="3"/>
    <x v="2"/>
    <x v="9"/>
    <x v="2"/>
    <n v="55000"/>
  </r>
  <r>
    <x v="84"/>
    <x v="1"/>
    <x v="0"/>
    <x v="2"/>
    <x v="6"/>
    <x v="2"/>
    <n v="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D8F5A-5FB8-4701-86B0-905D53F44E6C}" name="PivotTable2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0:D71" firstHeaderRow="1" firstDataRow="3" firstDataCol="1" rowPageCount="1" colPageCount="1"/>
  <pivotFields count="11">
    <pivotField axis="axisPage" numFmtId="164" multipleItemSelectionAllowed="1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>
      <items count="7">
        <item x="1"/>
        <item x="4"/>
        <item x="0"/>
        <item x="3"/>
        <item x="5"/>
        <item x="2"/>
        <item t="default"/>
      </items>
    </pivotField>
    <pivotField axis="axisRow" showAll="0">
      <items count="7">
        <item x="0"/>
        <item x="4"/>
        <item x="5"/>
        <item x="3"/>
        <item x="2"/>
        <item x="1"/>
        <item t="default"/>
      </items>
    </pivotField>
    <pivotField showAll="0">
      <items count="19">
        <item sd="0" x="6"/>
        <item sd="0" x="8"/>
        <item sd="0" x="14"/>
        <item sd="0" x="7"/>
        <item sd="0" x="15"/>
        <item sd="0" x="5"/>
        <item sd="0" x="17"/>
        <item sd="0" x="12"/>
        <item sd="0" x="2"/>
        <item sd="0" x="9"/>
        <item sd="0" x="3"/>
        <item sd="0" x="10"/>
        <item sd="0" x="16"/>
        <item sd="0" x="0"/>
        <item sd="0" x="11"/>
        <item sd="0" x="13"/>
        <item sd="0" x="1"/>
        <item sd="0" x="4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sd="0" x="0"/>
        <item sd="0" x="1"/>
        <item t="default"/>
      </items>
    </pivotField>
  </pivotFields>
  <rowFields count="2">
    <field x="9"/>
    <field x="3"/>
  </rowFields>
  <rowItems count="9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t="grand">
      <x/>
    </i>
  </rowItems>
  <colFields count="2">
    <field x="10"/>
    <field x="1"/>
  </colFields>
  <colItems count="3">
    <i>
      <x/>
    </i>
    <i>
      <x v="1"/>
    </i>
    <i t="grand">
      <x/>
    </i>
  </colItems>
  <pageFields count="1">
    <pageField fld="0" hier="-1"/>
  </pageField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BA906-F583-4F1F-84F8-BBF6FF7FFCDF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4:B9" firstHeaderRow="1" firstDataRow="1" firstDataCol="1"/>
  <pivotFields count="11">
    <pivotField numFmtId="16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>
      <items count="7">
        <item x="0"/>
        <item x="4"/>
        <item x="5"/>
        <item x="3"/>
        <item x="2"/>
        <item x="1"/>
        <item t="default"/>
      </items>
    </pivotField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6" baseField="0" baseItem="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5349B-076B-4A86-BE14-539157BF52E4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58:K65" firstHeaderRow="0" firstDataRow="1" firstDataCol="1"/>
  <pivotFields count="11">
    <pivotField numFmtId="16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axis="axisRow" showAll="0">
      <items count="7">
        <item x="1"/>
        <item x="4"/>
        <item x="0"/>
        <item x="3"/>
        <item x="5"/>
        <item x="2"/>
        <item t="default"/>
      </items>
    </pivotField>
    <pivotField showAll="0">
      <items count="7">
        <item x="0"/>
        <item x="4"/>
        <item x="5"/>
        <item x="3"/>
        <item x="2"/>
        <item x="1"/>
        <item t="default"/>
      </items>
    </pivotField>
    <pivotField dataField="1" showAll="0">
      <items count="19">
        <item sd="0" x="6"/>
        <item sd="0" x="8"/>
        <item sd="0" x="14"/>
        <item sd="0" x="7"/>
        <item sd="0" x="15"/>
        <item sd="0" x="5"/>
        <item sd="0" x="17"/>
        <item sd="0" x="12"/>
        <item sd="0" x="2"/>
        <item sd="0" x="9"/>
        <item sd="0" x="3"/>
        <item sd="0" x="10"/>
        <item sd="0" x="16"/>
        <item sd="0" x="0"/>
        <item sd="0" x="11"/>
        <item sd="0" x="13"/>
        <item sd="0" x="1"/>
        <item sd="0" x="4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6" baseField="0" baseItem="0"/>
    <dataField name="Sum of Units Sold" fld="4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C9B1DB-5090-4C4F-9A3B-4A2E72F324E9}" name="PivotTable2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0:L29" firstHeaderRow="1" firstDataRow="3" firstDataCol="1"/>
  <pivotFields count="11">
    <pivotField numFmtId="16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axis="axisRow" showAll="0">
      <items count="7">
        <item x="1"/>
        <item x="4"/>
        <item x="0"/>
        <item x="3"/>
        <item x="5"/>
        <item x="2"/>
        <item t="default"/>
      </items>
    </pivotField>
    <pivotField axis="axisCol" showAll="0">
      <items count="7">
        <item x="0"/>
        <item x="4"/>
        <item x="5"/>
        <item x="3"/>
        <item x="2"/>
        <item x="1"/>
        <item t="default"/>
      </items>
    </pivotField>
    <pivotField showAll="0"/>
    <pivotField showAll="0">
      <items count="7">
        <item x="2"/>
        <item x="4"/>
        <item x="0"/>
        <item x="3"/>
        <item x="1"/>
        <item x="5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3">
        <item sd="0" x="0"/>
        <item sd="0"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9"/>
    <field x="3"/>
  </colFields>
  <colItems count="3">
    <i>
      <x/>
    </i>
    <i>
      <x v="1"/>
    </i>
    <i t="grand">
      <x/>
    </i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E4A43-AB21-486F-B1B3-7E423B2672ED}" name="PivotTable3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7:D86" firstHeaderRow="1" firstDataRow="3" firstDataCol="1"/>
  <pivotFields count="11">
    <pivotField numFmtId="16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>
      <items count="7">
        <item x="1"/>
        <item x="4"/>
        <item x="0"/>
        <item x="3"/>
        <item x="5"/>
        <item x="2"/>
        <item t="default"/>
      </items>
    </pivotField>
    <pivotField axis="axisCol" showAll="0">
      <items count="7">
        <item x="0"/>
        <item x="4"/>
        <item x="5"/>
        <item x="3"/>
        <item x="2"/>
        <item x="1"/>
        <item t="default"/>
      </items>
    </pivotField>
    <pivotField showAll="0">
      <items count="19">
        <item sd="0" x="6"/>
        <item sd="0" x="8"/>
        <item sd="0" x="14"/>
        <item sd="0" x="7"/>
        <item sd="0" x="15"/>
        <item sd="0" x="5"/>
        <item sd="0" x="17"/>
        <item sd="0" x="12"/>
        <item sd="0" x="2"/>
        <item sd="0" x="9"/>
        <item sd="0" x="3"/>
        <item sd="0" x="10"/>
        <item sd="0" x="16"/>
        <item sd="0" x="0"/>
        <item sd="0" x="11"/>
        <item sd="0" x="13"/>
        <item sd="0" x="1"/>
        <item sd="0" x="4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3">
        <item sd="0" x="0"/>
        <item sd="0" x="1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10"/>
    <field x="1"/>
  </rowFields>
  <rowItems count="7">
    <i>
      <x/>
    </i>
    <i r="1">
      <x/>
    </i>
    <i r="1">
      <x v="1"/>
    </i>
    <i>
      <x v="1"/>
    </i>
    <i r="1">
      <x v="2"/>
    </i>
    <i r="1">
      <x v="3"/>
    </i>
    <i t="grand">
      <x/>
    </i>
  </rowItems>
  <colFields count="2">
    <field x="9"/>
    <field x="3"/>
  </colFields>
  <colItems count="3">
    <i>
      <x/>
    </i>
    <i>
      <x v="1"/>
    </i>
    <i t="grand">
      <x/>
    </i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C8A6B-F90D-4580-AAE1-475B7F2EB8B6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B48" firstHeaderRow="1" firstDataRow="1" firstDataCol="1"/>
  <pivotFields count="11">
    <pivotField numFmtId="16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axis="axisRow" showAll="0">
      <items count="7">
        <item x="0"/>
        <item x="4"/>
        <item x="5"/>
        <item x="3"/>
        <item x="2"/>
        <item x="1"/>
        <item t="default"/>
      </items>
    </pivotField>
    <pivotField showAll="0"/>
    <pivotField showAll="0">
      <items count="7">
        <item x="2"/>
        <item x="4"/>
        <item x="0"/>
        <item x="3"/>
        <item x="1"/>
        <item x="5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2">
    <field x="9"/>
    <field x="3"/>
  </rowFields>
  <rowItems count="9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53015-CC69-4D00-B7FC-BD5D292C876B}" name="PivotTable2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4:J11" firstHeaderRow="1" firstDataRow="1" firstDataCol="1"/>
  <pivotFields count="11">
    <pivotField numFmtId="16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axis="axisRow" showAll="0">
      <items count="7">
        <item x="1"/>
        <item x="4"/>
        <item x="0"/>
        <item x="3"/>
        <item x="5"/>
        <item x="2"/>
        <item t="default"/>
      </items>
    </pivotField>
    <pivotField showAll="0">
      <items count="7">
        <item x="0"/>
        <item x="4"/>
        <item x="5"/>
        <item x="3"/>
        <item x="2"/>
        <item x="1"/>
        <item t="default"/>
      </items>
    </pivotField>
    <pivotField dataField="1" showAll="0">
      <items count="19">
        <item sd="0" x="6"/>
        <item sd="0" x="8"/>
        <item sd="0" x="14"/>
        <item sd="0" x="7"/>
        <item sd="0" x="15"/>
        <item sd="0" x="5"/>
        <item sd="0" x="17"/>
        <item sd="0" x="12"/>
        <item sd="0" x="2"/>
        <item sd="0" x="9"/>
        <item sd="0" x="3"/>
        <item sd="0" x="10"/>
        <item sd="0" x="16"/>
        <item sd="0" x="0"/>
        <item sd="0" x="11"/>
        <item sd="0" x="13"/>
        <item sd="0" x="1"/>
        <item sd="0" x="4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A5C5A4-BCE4-4AA4-85CA-FFA88B3311D6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77:L86" firstHeaderRow="1" firstDataRow="3" firstDataCol="1" rowPageCount="1" colPageCount="1"/>
  <pivotFields count="11">
    <pivotField axis="axisPage" numFmtId="164" multipleItemSelectionAllowed="1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>
      <items count="7">
        <item x="1"/>
        <item x="4"/>
        <item x="0"/>
        <item x="3"/>
        <item x="5"/>
        <item x="2"/>
        <item t="default"/>
      </items>
    </pivotField>
    <pivotField showAll="0">
      <items count="7">
        <item x="0"/>
        <item x="4"/>
        <item x="5"/>
        <item x="3"/>
        <item x="2"/>
        <item x="1"/>
        <item t="default"/>
      </items>
    </pivotField>
    <pivotField showAll="0">
      <items count="19">
        <item sd="0" x="6"/>
        <item sd="0" x="8"/>
        <item sd="0" x="14"/>
        <item sd="0" x="7"/>
        <item sd="0" x="15"/>
        <item sd="0" x="5"/>
        <item sd="0" x="17"/>
        <item sd="0" x="12"/>
        <item sd="0" x="2"/>
        <item sd="0" x="9"/>
        <item sd="0" x="3"/>
        <item sd="0" x="10"/>
        <item sd="0" x="16"/>
        <item sd="0" x="0"/>
        <item sd="0" x="11"/>
        <item sd="0" x="13"/>
        <item sd="0" x="1"/>
        <item sd="0" x="4"/>
        <item t="default"/>
      </items>
    </pivotField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sd="0" x="0"/>
        <item sd="0" x="1"/>
        <item t="default"/>
      </items>
    </pivotField>
  </pivotFields>
  <rowFields count="2">
    <field x="8"/>
    <field x="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10"/>
    <field x="1"/>
  </colFields>
  <colItems count="3">
    <i>
      <x/>
    </i>
    <i>
      <x v="1"/>
    </i>
    <i t="grand">
      <x/>
    </i>
  </colItems>
  <pageFields count="1">
    <pageField fld="0" hier="-1"/>
  </pageField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B934D-B664-42E5-999F-8A1F1E1A65E5}" name="PivotTable2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9:J48" firstHeaderRow="1" firstDataRow="1" firstDataCol="1"/>
  <pivotFields count="11">
    <pivotField numFmtId="16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7">
        <item x="1"/>
        <item x="4"/>
        <item x="0"/>
        <item x="3"/>
        <item x="5"/>
        <item x="2"/>
        <item t="default"/>
      </items>
    </pivotField>
    <pivotField axis="axisRow" showAll="0">
      <items count="7">
        <item x="0"/>
        <item x="4"/>
        <item x="5"/>
        <item x="3"/>
        <item x="2"/>
        <item x="1"/>
        <item t="default"/>
      </items>
    </pivotField>
    <pivotField showAll="0">
      <items count="19">
        <item sd="0" x="6"/>
        <item sd="0" x="8"/>
        <item sd="0" x="14"/>
        <item sd="0" x="7"/>
        <item sd="0" x="15"/>
        <item sd="0" x="5"/>
        <item sd="0" x="17"/>
        <item sd="0" x="12"/>
        <item sd="0" x="2"/>
        <item sd="0" x="9"/>
        <item sd="0" x="3"/>
        <item sd="0" x="10"/>
        <item sd="0" x="16"/>
        <item sd="0" x="0"/>
        <item sd="0" x="11"/>
        <item sd="0" x="13"/>
        <item sd="0" x="1"/>
        <item sd="0" x="4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2">
    <field x="9"/>
    <field x="3"/>
  </rowFields>
  <rowItems count="9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t="grand">
      <x/>
    </i>
  </rowItems>
  <colItems count="1">
    <i/>
  </colItems>
  <dataFields count="1">
    <dataField name="Average of Unit Price" fld="5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E9B136-1A30-48BB-821D-48C8AD20427E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1">
    <pivotField numFmtId="16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axis="axisRow" showAll="0">
      <items count="7">
        <item x="1"/>
        <item x="4"/>
        <item x="0"/>
        <item x="3"/>
        <item x="5"/>
        <item x="2"/>
        <item t="default"/>
      </items>
    </pivotField>
    <pivotField showAll="0">
      <items count="7">
        <item x="0"/>
        <item x="4"/>
        <item x="5"/>
        <item x="3"/>
        <item x="2"/>
        <item x="1"/>
        <item t="default"/>
      </items>
    </pivotField>
    <pivotField dataField="1" showAll="0">
      <items count="19">
        <item sd="0" x="6"/>
        <item sd="0" x="8"/>
        <item sd="0" x="14"/>
        <item sd="0" x="7"/>
        <item sd="0" x="15"/>
        <item sd="0" x="5"/>
        <item sd="0" x="17"/>
        <item sd="0" x="12"/>
        <item sd="0" x="2"/>
        <item sd="0" x="9"/>
        <item sd="0" x="3"/>
        <item sd="0" x="10"/>
        <item sd="0" x="16"/>
        <item sd="0" x="0"/>
        <item sd="0" x="11"/>
        <item sd="0" x="13"/>
        <item sd="0" x="1"/>
        <item sd="0" x="4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66A48-EB0E-4CE2-BF8F-C98B4FBB9597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1">
    <pivotField numFmtId="16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axis="axisRow" showAll="0">
      <items count="7">
        <item x="0"/>
        <item x="4"/>
        <item x="5"/>
        <item x="3"/>
        <item x="2"/>
        <item x="1"/>
        <item t="default"/>
      </items>
    </pivotField>
    <pivotField showAll="0"/>
    <pivotField showAll="0">
      <items count="7">
        <item x="2"/>
        <item x="4"/>
        <item x="0"/>
        <item x="3"/>
        <item x="1"/>
        <item x="5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2">
    <field x="9"/>
    <field x="3"/>
  </rowFields>
  <rowItems count="9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549ABD-B05A-49AC-B95C-0E026002BAE1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3" firstDataCol="1"/>
  <pivotFields count="11">
    <pivotField numFmtId="16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axis="axisRow" showAll="0">
      <items count="7">
        <item x="1"/>
        <item x="4"/>
        <item x="0"/>
        <item x="3"/>
        <item x="5"/>
        <item x="2"/>
        <item t="default"/>
      </items>
    </pivotField>
    <pivotField axis="axisCol" showAll="0">
      <items count="7">
        <item x="0"/>
        <item x="4"/>
        <item x="5"/>
        <item x="3"/>
        <item x="2"/>
        <item x="1"/>
        <item t="default"/>
      </items>
    </pivotField>
    <pivotField showAll="0"/>
    <pivotField showAll="0">
      <items count="7">
        <item x="2"/>
        <item x="4"/>
        <item x="0"/>
        <item x="3"/>
        <item x="1"/>
        <item x="5"/>
        <item t="default"/>
      </items>
    </pivotField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3">
        <item sd="0" x="0"/>
        <item sd="0"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9"/>
    <field x="3"/>
  </colFields>
  <colItems count="3">
    <i>
      <x/>
    </i>
    <i>
      <x v="1"/>
    </i>
    <i t="grand">
      <x/>
    </i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1F459E-5994-4CF3-B6B2-3334124736F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4" firstHeaderRow="1" firstDataRow="3" firstDataCol="1" rowPageCount="1" colPageCount="1"/>
  <pivotFields count="11">
    <pivotField axis="axisPage" numFmtId="164" multipleItemSelectionAllowed="1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>
      <items count="7">
        <item x="1"/>
        <item x="4"/>
        <item x="0"/>
        <item x="3"/>
        <item x="5"/>
        <item x="2"/>
        <item t="default"/>
      </items>
    </pivotField>
    <pivotField axis="axisRow" showAll="0">
      <items count="7">
        <item x="0"/>
        <item x="4"/>
        <item x="5"/>
        <item x="3"/>
        <item x="2"/>
        <item x="1"/>
        <item t="default"/>
      </items>
    </pivotField>
    <pivotField showAll="0">
      <items count="19">
        <item sd="0" x="6"/>
        <item sd="0" x="8"/>
        <item sd="0" x="14"/>
        <item sd="0" x="7"/>
        <item sd="0" x="15"/>
        <item sd="0" x="5"/>
        <item sd="0" x="17"/>
        <item sd="0" x="12"/>
        <item sd="0" x="2"/>
        <item sd="0" x="9"/>
        <item sd="0" x="3"/>
        <item sd="0" x="10"/>
        <item sd="0" x="16"/>
        <item sd="0" x="0"/>
        <item sd="0" x="11"/>
        <item sd="0" x="13"/>
        <item sd="0" x="1"/>
        <item sd="0" x="4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2">
    <field x="9"/>
    <field x="3"/>
  </rowFields>
  <rowItems count="9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t="grand">
      <x/>
    </i>
  </rowItems>
  <colFields count="2">
    <field x="10"/>
    <field x="1"/>
  </colFields>
  <colItems count="7">
    <i>
      <x/>
      <x/>
    </i>
    <i r="1">
      <x v="1"/>
    </i>
    <i t="default">
      <x/>
    </i>
    <i>
      <x v="1"/>
      <x v="2"/>
    </i>
    <i r="1">
      <x v="3"/>
    </i>
    <i t="default">
      <x v="1"/>
    </i>
    <i t="grand">
      <x/>
    </i>
  </colItems>
  <pageFields count="1">
    <pageField fld="0" hier="-1"/>
  </pageField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8D7B7-2B14-4AEB-AFED-5DD7B97E60A3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2" firstHeaderRow="1" firstDataRow="1" firstDataCol="1"/>
  <pivotFields count="11">
    <pivotField numFmtId="16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>
      <items count="7">
        <item x="1"/>
        <item x="4"/>
        <item x="0"/>
        <item x="3"/>
        <item x="5"/>
        <item x="2"/>
        <item t="default"/>
      </items>
    </pivotField>
    <pivotField axis="axisRow" showAll="0">
      <items count="7">
        <item x="0"/>
        <item x="4"/>
        <item x="5"/>
        <item x="3"/>
        <item x="2"/>
        <item x="1"/>
        <item t="default"/>
      </items>
    </pivotField>
    <pivotField showAll="0">
      <items count="19">
        <item sd="0" x="6"/>
        <item sd="0" x="8"/>
        <item sd="0" x="14"/>
        <item sd="0" x="7"/>
        <item sd="0" x="15"/>
        <item sd="0" x="5"/>
        <item sd="0" x="17"/>
        <item sd="0" x="12"/>
        <item sd="0" x="2"/>
        <item sd="0" x="9"/>
        <item sd="0" x="3"/>
        <item sd="0" x="10"/>
        <item sd="0" x="16"/>
        <item sd="0" x="0"/>
        <item sd="0" x="11"/>
        <item sd="0" x="13"/>
        <item sd="0" x="1"/>
        <item sd="0" x="4"/>
        <item t="default"/>
      </items>
    </pivotField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2">
    <field x="9"/>
    <field x="3"/>
  </rowFields>
  <rowItems count="9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 t="grand">
      <x/>
    </i>
  </rowItems>
  <colItems count="1">
    <i/>
  </colItems>
  <dataFields count="1">
    <dataField name="Average of Unit Price" fld="5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4C8F65-AD51-4C21-948E-B4452C78A343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3" firstDataCol="1"/>
  <pivotFields count="11">
    <pivotField axis="axisRow" numFmtId="16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axis="axisCol" showAll="0">
      <items count="5">
        <item x="0"/>
        <item x="3"/>
        <item x="1"/>
        <item x="2"/>
        <item t="default"/>
      </items>
    </pivotField>
    <pivotField showAll="0">
      <items count="7">
        <item x="1"/>
        <item x="4"/>
        <item x="0"/>
        <item x="3"/>
        <item x="5"/>
        <item x="2"/>
        <item t="default"/>
      </items>
    </pivotField>
    <pivotField showAll="0">
      <items count="7">
        <item x="0"/>
        <item x="4"/>
        <item x="5"/>
        <item x="3"/>
        <item x="2"/>
        <item x="1"/>
        <item t="default"/>
      </items>
    </pivotField>
    <pivotField showAll="0">
      <items count="19">
        <item sd="0" x="6"/>
        <item sd="0" x="8"/>
        <item sd="0" x="14"/>
        <item sd="0" x="7"/>
        <item sd="0" x="15"/>
        <item sd="0" x="5"/>
        <item sd="0" x="17"/>
        <item sd="0" x="12"/>
        <item sd="0" x="2"/>
        <item sd="0" x="9"/>
        <item sd="0" x="3"/>
        <item sd="0" x="10"/>
        <item sd="0" x="16"/>
        <item sd="0" x="0"/>
        <item sd="0" x="11"/>
        <item sd="0" x="13"/>
        <item sd="0" x="1"/>
        <item sd="0" x="4"/>
        <item t="default"/>
      </items>
    </pivotField>
    <pivotField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sd="0" x="0"/>
        <item sd="0" x="1"/>
        <item t="default"/>
      </items>
    </pivotField>
  </pivotFields>
  <rowFields count="3">
    <field x="8"/>
    <field x="7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10"/>
    <field x="1"/>
  </colFields>
  <colItems count="3">
    <i>
      <x/>
    </i>
    <i>
      <x v="1"/>
    </i>
    <i t="grand">
      <x/>
    </i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AC9ED-8FD2-4454-994A-B20F776D7D18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3" firstDataCol="1"/>
  <pivotFields count="11">
    <pivotField numFmtId="16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>
      <items count="7">
        <item x="1"/>
        <item x="4"/>
        <item x="0"/>
        <item x="3"/>
        <item x="5"/>
        <item x="2"/>
        <item t="default"/>
      </items>
    </pivotField>
    <pivotField axis="axisCol" showAll="0">
      <items count="7">
        <item x="0"/>
        <item x="4"/>
        <item x="5"/>
        <item x="3"/>
        <item x="2"/>
        <item x="1"/>
        <item t="default"/>
      </items>
    </pivotField>
    <pivotField showAll="0">
      <items count="19">
        <item sd="0" x="6"/>
        <item sd="0" x="8"/>
        <item sd="0" x="14"/>
        <item sd="0" x="7"/>
        <item sd="0" x="15"/>
        <item sd="0" x="5"/>
        <item sd="0" x="17"/>
        <item sd="0" x="12"/>
        <item sd="0" x="2"/>
        <item sd="0" x="9"/>
        <item sd="0" x="3"/>
        <item sd="0" x="10"/>
        <item sd="0" x="16"/>
        <item sd="0" x="0"/>
        <item sd="0" x="11"/>
        <item sd="0" x="13"/>
        <item sd="0" x="1"/>
        <item sd="0" x="4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3">
        <item sd="0" x="0"/>
        <item sd="0" x="1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10"/>
    <field x="1"/>
  </rowFields>
  <rowItems count="7">
    <i>
      <x/>
    </i>
    <i r="1">
      <x/>
    </i>
    <i r="1">
      <x v="1"/>
    </i>
    <i>
      <x v="1"/>
    </i>
    <i r="1">
      <x v="2"/>
    </i>
    <i r="1">
      <x v="3"/>
    </i>
    <i t="grand">
      <x/>
    </i>
  </rowItems>
  <colFields count="2">
    <field x="9"/>
    <field x="3"/>
  </colFields>
  <colItems count="3">
    <i>
      <x/>
    </i>
    <i>
      <x v="1"/>
    </i>
    <i t="grand">
      <x/>
    </i>
  </colItems>
  <dataFields count="1">
    <dataField name="Sum of Total Sale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D8F70-80A8-4D41-89A9-432CA78BFA03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0" firstHeaderRow="0" firstDataRow="1" firstDataCol="1"/>
  <pivotFields count="11">
    <pivotField numFmtId="164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axis="axisRow" showAll="0">
      <items count="7">
        <item x="1"/>
        <item x="4"/>
        <item x="0"/>
        <item x="3"/>
        <item x="5"/>
        <item x="2"/>
        <item t="default"/>
      </items>
    </pivotField>
    <pivotField showAll="0">
      <items count="7">
        <item x="0"/>
        <item x="4"/>
        <item x="5"/>
        <item x="3"/>
        <item x="2"/>
        <item x="1"/>
        <item t="default"/>
      </items>
    </pivotField>
    <pivotField dataField="1" showAll="0">
      <items count="19">
        <item sd="0" x="6"/>
        <item sd="0" x="8"/>
        <item sd="0" x="14"/>
        <item sd="0" x="7"/>
        <item sd="0" x="15"/>
        <item sd="0" x="5"/>
        <item sd="0" x="17"/>
        <item sd="0" x="12"/>
        <item sd="0" x="2"/>
        <item sd="0" x="9"/>
        <item sd="0" x="3"/>
        <item sd="0" x="10"/>
        <item sd="0" x="16"/>
        <item sd="0" x="0"/>
        <item sd="0" x="11"/>
        <item sd="0" x="13"/>
        <item sd="0" x="1"/>
        <item sd="0" x="4"/>
        <item t="default"/>
      </items>
    </pivotField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6" baseField="0" baseItem="0"/>
    <dataField name="Sum of Units Sol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F22B-597B-4A78-AB3F-76125AB00D19}">
  <dimension ref="A1:O89"/>
  <sheetViews>
    <sheetView tabSelected="1" workbookViewId="0">
      <selection activeCell="K39" sqref="K39"/>
    </sheetView>
  </sheetViews>
  <sheetFormatPr defaultRowHeight="14.25" x14ac:dyDescent="0.45"/>
  <cols>
    <col min="1" max="1" width="12.06640625" bestFit="1" customWidth="1"/>
    <col min="2" max="2" width="16.59765625" customWidth="1"/>
    <col min="3" max="3" width="11.796875" customWidth="1"/>
    <col min="4" max="4" width="10.19921875" bestFit="1" customWidth="1"/>
    <col min="5" max="5" width="11.33203125" bestFit="1" customWidth="1"/>
    <col min="6" max="6" width="15.6640625" bestFit="1" customWidth="1"/>
    <col min="7" max="7" width="14.73046875" bestFit="1" customWidth="1"/>
    <col min="8" max="8" width="8.73046875" bestFit="1" customWidth="1"/>
    <col min="9" max="9" width="12.06640625" bestFit="1" customWidth="1"/>
    <col min="10" max="10" width="18" bestFit="1" customWidth="1"/>
    <col min="11" max="11" width="15.265625" bestFit="1" customWidth="1"/>
    <col min="12" max="12" width="10.796875" customWidth="1"/>
    <col min="13" max="13" width="8.73046875" bestFit="1" customWidth="1"/>
    <col min="14" max="14" width="10.19921875" bestFit="1" customWidth="1"/>
    <col min="15" max="15" width="11.33203125" bestFit="1" customWidth="1"/>
    <col min="16" max="16" width="10.19921875" bestFit="1" customWidth="1"/>
    <col min="17" max="17" width="11.33203125" bestFit="1" customWidth="1"/>
    <col min="18" max="18" width="10.19921875" bestFit="1" customWidth="1"/>
  </cols>
  <sheetData>
    <row r="1" spans="1:11" x14ac:dyDescent="0.45">
      <c r="A1" s="10" t="s">
        <v>55</v>
      </c>
      <c r="B1" s="10"/>
      <c r="I1" s="10" t="s">
        <v>60</v>
      </c>
      <c r="J1" s="10"/>
      <c r="K1" s="10"/>
    </row>
    <row r="3" spans="1:11" ht="15.75" x14ac:dyDescent="0.5">
      <c r="A3" s="11" t="s">
        <v>48</v>
      </c>
      <c r="B3" s="11"/>
      <c r="C3" s="11"/>
      <c r="I3" s="11" t="s">
        <v>49</v>
      </c>
      <c r="J3" s="11"/>
    </row>
    <row r="4" spans="1:11" x14ac:dyDescent="0.45">
      <c r="A4" s="3" t="s">
        <v>34</v>
      </c>
      <c r="B4" t="s">
        <v>38</v>
      </c>
      <c r="I4" s="3" t="s">
        <v>34</v>
      </c>
      <c r="J4" t="s">
        <v>37</v>
      </c>
    </row>
    <row r="5" spans="1:11" x14ac:dyDescent="0.45">
      <c r="A5" s="4" t="s">
        <v>7</v>
      </c>
      <c r="B5">
        <v>29625000</v>
      </c>
      <c r="I5" s="4" t="s">
        <v>12</v>
      </c>
      <c r="J5">
        <v>246</v>
      </c>
    </row>
    <row r="6" spans="1:11" x14ac:dyDescent="0.45">
      <c r="A6" s="4" t="s">
        <v>10</v>
      </c>
      <c r="B6">
        <v>24510000</v>
      </c>
      <c r="I6" s="4" t="s">
        <v>15</v>
      </c>
      <c r="J6">
        <v>84</v>
      </c>
    </row>
    <row r="7" spans="1:11" x14ac:dyDescent="0.45">
      <c r="A7" s="4" t="s">
        <v>8</v>
      </c>
      <c r="B7">
        <v>24695000</v>
      </c>
      <c r="I7" s="4" t="s">
        <v>11</v>
      </c>
      <c r="J7">
        <v>274</v>
      </c>
    </row>
    <row r="8" spans="1:11" x14ac:dyDescent="0.45">
      <c r="A8" s="4" t="s">
        <v>9</v>
      </c>
      <c r="B8">
        <v>21395000</v>
      </c>
      <c r="I8" s="4" t="s">
        <v>14</v>
      </c>
      <c r="J8">
        <v>239</v>
      </c>
    </row>
    <row r="9" spans="1:11" x14ac:dyDescent="0.45">
      <c r="A9" s="4" t="s">
        <v>35</v>
      </c>
      <c r="B9">
        <v>100225000</v>
      </c>
      <c r="I9" s="4" t="s">
        <v>16</v>
      </c>
      <c r="J9">
        <v>134</v>
      </c>
    </row>
    <row r="10" spans="1:11" x14ac:dyDescent="0.45">
      <c r="I10" s="4" t="s">
        <v>13</v>
      </c>
      <c r="J10">
        <v>216</v>
      </c>
    </row>
    <row r="11" spans="1:11" x14ac:dyDescent="0.45">
      <c r="I11" s="4" t="s">
        <v>35</v>
      </c>
      <c r="J11">
        <v>1193</v>
      </c>
    </row>
    <row r="14" spans="1:11" x14ac:dyDescent="0.45">
      <c r="A14" s="10" t="s">
        <v>70</v>
      </c>
      <c r="B14" s="10"/>
    </row>
    <row r="16" spans="1:11" ht="15.75" x14ac:dyDescent="0.5">
      <c r="A16" s="8" t="s">
        <v>53</v>
      </c>
    </row>
    <row r="17" spans="1:12" ht="15.75" x14ac:dyDescent="0.5">
      <c r="A17" s="8" t="s">
        <v>54</v>
      </c>
      <c r="I17" s="10" t="s">
        <v>62</v>
      </c>
      <c r="J17" s="10"/>
      <c r="K17" s="10"/>
      <c r="L17" s="6"/>
    </row>
    <row r="19" spans="1:12" ht="15.75" x14ac:dyDescent="0.5">
      <c r="I19" s="11" t="s">
        <v>63</v>
      </c>
      <c r="J19" s="11"/>
      <c r="K19" s="11"/>
    </row>
    <row r="20" spans="1:12" x14ac:dyDescent="0.45">
      <c r="I20" s="3" t="s">
        <v>38</v>
      </c>
      <c r="J20" s="3" t="s">
        <v>36</v>
      </c>
    </row>
    <row r="21" spans="1:12" x14ac:dyDescent="0.45">
      <c r="J21" t="s">
        <v>56</v>
      </c>
      <c r="K21" t="s">
        <v>58</v>
      </c>
      <c r="L21" t="s">
        <v>35</v>
      </c>
    </row>
    <row r="22" spans="1:12" x14ac:dyDescent="0.45">
      <c r="I22" s="3" t="s">
        <v>34</v>
      </c>
    </row>
    <row r="23" spans="1:12" x14ac:dyDescent="0.45">
      <c r="I23" s="4" t="s">
        <v>12</v>
      </c>
      <c r="J23">
        <v>16605000</v>
      </c>
      <c r="K23">
        <v>9625000</v>
      </c>
      <c r="L23">
        <v>26230000</v>
      </c>
    </row>
    <row r="24" spans="1:12" x14ac:dyDescent="0.45">
      <c r="I24" s="4" t="s">
        <v>15</v>
      </c>
      <c r="J24">
        <v>4970000</v>
      </c>
      <c r="K24">
        <v>6015000</v>
      </c>
      <c r="L24">
        <v>10985000</v>
      </c>
    </row>
    <row r="25" spans="1:12" x14ac:dyDescent="0.45">
      <c r="I25" s="4" t="s">
        <v>11</v>
      </c>
      <c r="J25">
        <v>11235000</v>
      </c>
      <c r="K25">
        <v>9170000</v>
      </c>
      <c r="L25">
        <v>20405000</v>
      </c>
    </row>
    <row r="26" spans="1:12" x14ac:dyDescent="0.45">
      <c r="I26" s="4" t="s">
        <v>14</v>
      </c>
      <c r="J26">
        <v>4140000</v>
      </c>
      <c r="K26">
        <v>10440000</v>
      </c>
      <c r="L26">
        <v>14580000</v>
      </c>
    </row>
    <row r="27" spans="1:12" x14ac:dyDescent="0.45">
      <c r="I27" s="4" t="s">
        <v>16</v>
      </c>
      <c r="J27">
        <v>8515000</v>
      </c>
      <c r="K27">
        <v>1165000</v>
      </c>
      <c r="L27">
        <v>9680000</v>
      </c>
    </row>
    <row r="28" spans="1:12" x14ac:dyDescent="0.45">
      <c r="I28" s="4" t="s">
        <v>13</v>
      </c>
      <c r="J28">
        <v>7790000</v>
      </c>
      <c r="K28">
        <v>10555000</v>
      </c>
      <c r="L28">
        <v>18345000</v>
      </c>
    </row>
    <row r="29" spans="1:12" x14ac:dyDescent="0.45">
      <c r="I29" s="4" t="s">
        <v>35</v>
      </c>
      <c r="J29">
        <v>53255000</v>
      </c>
      <c r="K29">
        <v>46970000</v>
      </c>
      <c r="L29">
        <v>100225000</v>
      </c>
    </row>
    <row r="36" spans="1:12" x14ac:dyDescent="0.45">
      <c r="A36" s="10" t="s">
        <v>61</v>
      </c>
      <c r="B36" s="10"/>
      <c r="I36" s="9"/>
      <c r="J36" s="7" t="s">
        <v>65</v>
      </c>
      <c r="K36" s="7"/>
      <c r="L36" s="7"/>
    </row>
    <row r="38" spans="1:12" ht="15.75" x14ac:dyDescent="0.5">
      <c r="A38" s="11" t="s">
        <v>47</v>
      </c>
      <c r="B38" s="11"/>
      <c r="C38" s="11"/>
      <c r="I38" s="8" t="s">
        <v>51</v>
      </c>
      <c r="J38" s="8"/>
    </row>
    <row r="39" spans="1:12" x14ac:dyDescent="0.45">
      <c r="A39" s="3" t="s">
        <v>34</v>
      </c>
      <c r="B39" t="s">
        <v>38</v>
      </c>
      <c r="I39" s="3" t="s">
        <v>34</v>
      </c>
      <c r="J39" t="s">
        <v>40</v>
      </c>
    </row>
    <row r="40" spans="1:12" x14ac:dyDescent="0.45">
      <c r="A40" s="4" t="s">
        <v>56</v>
      </c>
      <c r="B40">
        <v>53255000</v>
      </c>
      <c r="I40" s="4" t="s">
        <v>56</v>
      </c>
      <c r="J40">
        <v>125277.77777777778</v>
      </c>
    </row>
    <row r="41" spans="1:12" x14ac:dyDescent="0.45">
      <c r="A41" s="5" t="s">
        <v>17</v>
      </c>
      <c r="B41">
        <v>3015000</v>
      </c>
      <c r="I41" s="5" t="s">
        <v>17</v>
      </c>
      <c r="J41">
        <v>15000</v>
      </c>
    </row>
    <row r="42" spans="1:12" x14ac:dyDescent="0.45">
      <c r="A42" s="5" t="s">
        <v>21</v>
      </c>
      <c r="B42">
        <v>1240000</v>
      </c>
      <c r="I42" s="5" t="s">
        <v>21</v>
      </c>
      <c r="J42">
        <v>10000</v>
      </c>
    </row>
    <row r="43" spans="1:12" x14ac:dyDescent="0.45">
      <c r="A43" s="5" t="s">
        <v>22</v>
      </c>
      <c r="B43">
        <v>49000000</v>
      </c>
      <c r="I43" s="5" t="s">
        <v>22</v>
      </c>
      <c r="J43">
        <v>350000</v>
      </c>
    </row>
    <row r="44" spans="1:12" x14ac:dyDescent="0.45">
      <c r="A44" s="4" t="s">
        <v>58</v>
      </c>
      <c r="B44">
        <v>46970000</v>
      </c>
      <c r="I44" s="4" t="s">
        <v>58</v>
      </c>
      <c r="J44">
        <v>65984.84848484848</v>
      </c>
    </row>
    <row r="45" spans="1:12" x14ac:dyDescent="0.45">
      <c r="A45" s="5" t="s">
        <v>20</v>
      </c>
      <c r="B45">
        <v>19600000</v>
      </c>
      <c r="I45" s="5" t="s">
        <v>20</v>
      </c>
      <c r="J45">
        <v>80000</v>
      </c>
    </row>
    <row r="46" spans="1:12" x14ac:dyDescent="0.45">
      <c r="A46" s="5" t="s">
        <v>19</v>
      </c>
      <c r="B46">
        <v>1330000</v>
      </c>
      <c r="I46" s="5" t="s">
        <v>19</v>
      </c>
      <c r="J46">
        <v>5000</v>
      </c>
    </row>
    <row r="47" spans="1:12" x14ac:dyDescent="0.45">
      <c r="A47" s="5" t="s">
        <v>18</v>
      </c>
      <c r="B47">
        <v>26040000</v>
      </c>
      <c r="I47" s="5" t="s">
        <v>18</v>
      </c>
      <c r="J47">
        <v>120000</v>
      </c>
    </row>
    <row r="48" spans="1:12" x14ac:dyDescent="0.45">
      <c r="A48" s="4" t="s">
        <v>35</v>
      </c>
      <c r="B48">
        <v>100225000</v>
      </c>
      <c r="I48" s="4" t="s">
        <v>35</v>
      </c>
      <c r="J48">
        <v>92666.666666666672</v>
      </c>
    </row>
    <row r="55" spans="1:12" x14ac:dyDescent="0.45">
      <c r="A55" s="10" t="s">
        <v>64</v>
      </c>
      <c r="B55" s="10"/>
      <c r="C55" s="10"/>
      <c r="D55" s="10"/>
      <c r="E55" s="6"/>
      <c r="I55" s="10" t="s">
        <v>71</v>
      </c>
      <c r="J55" s="10"/>
      <c r="K55" s="10"/>
      <c r="L55" s="10"/>
    </row>
    <row r="57" spans="1:12" ht="15.75" x14ac:dyDescent="0.5">
      <c r="A57" s="8" t="s">
        <v>50</v>
      </c>
      <c r="B57" s="8"/>
      <c r="C57" s="8"/>
      <c r="D57" s="8"/>
      <c r="I57" s="8" t="s">
        <v>52</v>
      </c>
    </row>
    <row r="58" spans="1:12" x14ac:dyDescent="0.45">
      <c r="A58" s="3" t="s">
        <v>0</v>
      </c>
      <c r="B58" t="s">
        <v>39</v>
      </c>
      <c r="I58" s="3" t="s">
        <v>34</v>
      </c>
      <c r="J58" t="s">
        <v>38</v>
      </c>
      <c r="K58" t="s">
        <v>37</v>
      </c>
    </row>
    <row r="59" spans="1:12" x14ac:dyDescent="0.45">
      <c r="I59" s="4" t="s">
        <v>12</v>
      </c>
      <c r="J59">
        <v>26230000</v>
      </c>
      <c r="K59">
        <v>246</v>
      </c>
    </row>
    <row r="60" spans="1:12" x14ac:dyDescent="0.45">
      <c r="A60" s="3" t="s">
        <v>38</v>
      </c>
      <c r="B60" s="3" t="s">
        <v>36</v>
      </c>
      <c r="I60" s="4" t="s">
        <v>15</v>
      </c>
      <c r="J60">
        <v>10985000</v>
      </c>
      <c r="K60">
        <v>84</v>
      </c>
    </row>
    <row r="61" spans="1:12" x14ac:dyDescent="0.45">
      <c r="B61" t="s">
        <v>56</v>
      </c>
      <c r="C61" t="s">
        <v>58</v>
      </c>
      <c r="D61" t="s">
        <v>35</v>
      </c>
      <c r="I61" s="4" t="s">
        <v>11</v>
      </c>
      <c r="J61">
        <v>20405000</v>
      </c>
      <c r="K61">
        <v>274</v>
      </c>
    </row>
    <row r="62" spans="1:12" x14ac:dyDescent="0.45">
      <c r="A62" s="3" t="s">
        <v>34</v>
      </c>
      <c r="I62" s="4" t="s">
        <v>14</v>
      </c>
      <c r="J62">
        <v>14580000</v>
      </c>
      <c r="K62">
        <v>239</v>
      </c>
    </row>
    <row r="63" spans="1:12" x14ac:dyDescent="0.45">
      <c r="A63" s="4" t="s">
        <v>56</v>
      </c>
      <c r="B63">
        <v>31765000</v>
      </c>
      <c r="C63">
        <v>21490000</v>
      </c>
      <c r="D63">
        <v>53255000</v>
      </c>
      <c r="I63" s="4" t="s">
        <v>16</v>
      </c>
      <c r="J63">
        <v>9680000</v>
      </c>
      <c r="K63">
        <v>134</v>
      </c>
    </row>
    <row r="64" spans="1:12" x14ac:dyDescent="0.45">
      <c r="A64" s="5" t="s">
        <v>17</v>
      </c>
      <c r="B64">
        <v>2025000</v>
      </c>
      <c r="C64">
        <v>990000</v>
      </c>
      <c r="D64">
        <v>3015000</v>
      </c>
      <c r="I64" s="4" t="s">
        <v>13</v>
      </c>
      <c r="J64">
        <v>18345000</v>
      </c>
      <c r="K64">
        <v>216</v>
      </c>
    </row>
    <row r="65" spans="1:12" x14ac:dyDescent="0.45">
      <c r="A65" s="5" t="s">
        <v>21</v>
      </c>
      <c r="B65">
        <v>690000</v>
      </c>
      <c r="C65">
        <v>550000</v>
      </c>
      <c r="D65">
        <v>1240000</v>
      </c>
      <c r="I65" s="4" t="s">
        <v>35</v>
      </c>
      <c r="J65">
        <v>100225000</v>
      </c>
      <c r="K65">
        <v>1193</v>
      </c>
    </row>
    <row r="66" spans="1:12" x14ac:dyDescent="0.45">
      <c r="A66" s="5" t="s">
        <v>22</v>
      </c>
      <c r="B66">
        <v>29050000</v>
      </c>
      <c r="C66">
        <v>19950000</v>
      </c>
      <c r="D66">
        <v>49000000</v>
      </c>
    </row>
    <row r="67" spans="1:12" x14ac:dyDescent="0.45">
      <c r="A67" s="4" t="s">
        <v>58</v>
      </c>
      <c r="B67">
        <v>22370000</v>
      </c>
      <c r="C67">
        <v>24600000</v>
      </c>
      <c r="D67">
        <v>46970000</v>
      </c>
    </row>
    <row r="68" spans="1:12" x14ac:dyDescent="0.45">
      <c r="A68" s="5" t="s">
        <v>20</v>
      </c>
      <c r="B68">
        <v>10880000</v>
      </c>
      <c r="C68">
        <v>8720000</v>
      </c>
      <c r="D68">
        <v>19600000</v>
      </c>
    </row>
    <row r="69" spans="1:12" x14ac:dyDescent="0.45">
      <c r="A69" s="5" t="s">
        <v>19</v>
      </c>
      <c r="B69">
        <v>810000</v>
      </c>
      <c r="C69">
        <v>520000</v>
      </c>
      <c r="D69">
        <v>1330000</v>
      </c>
    </row>
    <row r="70" spans="1:12" x14ac:dyDescent="0.45">
      <c r="A70" s="5" t="s">
        <v>18</v>
      </c>
      <c r="B70">
        <v>10680000</v>
      </c>
      <c r="C70">
        <v>15360000</v>
      </c>
      <c r="D70">
        <v>26040000</v>
      </c>
    </row>
    <row r="71" spans="1:12" x14ac:dyDescent="0.45">
      <c r="A71" s="4" t="s">
        <v>35</v>
      </c>
      <c r="B71">
        <v>54135000</v>
      </c>
      <c r="C71">
        <v>46090000</v>
      </c>
      <c r="D71">
        <v>100225000</v>
      </c>
    </row>
    <row r="73" spans="1:12" x14ac:dyDescent="0.45">
      <c r="H73" s="6"/>
    </row>
    <row r="74" spans="1:12" x14ac:dyDescent="0.45">
      <c r="A74" s="10" t="s">
        <v>68</v>
      </c>
      <c r="B74" s="10"/>
      <c r="I74" s="10" t="s">
        <v>66</v>
      </c>
      <c r="J74" s="10"/>
      <c r="K74" s="10"/>
    </row>
    <row r="75" spans="1:12" x14ac:dyDescent="0.45">
      <c r="I75" s="3" t="s">
        <v>0</v>
      </c>
      <c r="J75" t="s">
        <v>39</v>
      </c>
    </row>
    <row r="76" spans="1:12" ht="15.75" x14ac:dyDescent="0.5">
      <c r="A76" s="8" t="s">
        <v>69</v>
      </c>
      <c r="I76" s="8" t="s">
        <v>67</v>
      </c>
    </row>
    <row r="77" spans="1:12" x14ac:dyDescent="0.45">
      <c r="A77" s="3" t="s">
        <v>38</v>
      </c>
      <c r="B77" s="3" t="s">
        <v>36</v>
      </c>
      <c r="I77" s="3" t="s">
        <v>38</v>
      </c>
      <c r="J77" s="3" t="s">
        <v>36</v>
      </c>
    </row>
    <row r="78" spans="1:12" x14ac:dyDescent="0.45">
      <c r="B78" t="s">
        <v>56</v>
      </c>
      <c r="C78" t="s">
        <v>58</v>
      </c>
      <c r="D78" t="s">
        <v>35</v>
      </c>
      <c r="J78" t="s">
        <v>56</v>
      </c>
      <c r="K78" t="s">
        <v>58</v>
      </c>
      <c r="L78" t="s">
        <v>35</v>
      </c>
    </row>
    <row r="79" spans="1:12" x14ac:dyDescent="0.45">
      <c r="A79" s="3" t="s">
        <v>34</v>
      </c>
      <c r="I79" s="3" t="s">
        <v>34</v>
      </c>
    </row>
    <row r="80" spans="1:12" x14ac:dyDescent="0.45">
      <c r="A80" s="4" t="s">
        <v>56</v>
      </c>
      <c r="B80">
        <v>31765000</v>
      </c>
      <c r="C80">
        <v>22370000</v>
      </c>
      <c r="D80">
        <v>54135000</v>
      </c>
      <c r="I80" s="4" t="s">
        <v>41</v>
      </c>
      <c r="J80">
        <v>13055000</v>
      </c>
      <c r="K80">
        <v>7125000</v>
      </c>
      <c r="L80">
        <v>20180000</v>
      </c>
    </row>
    <row r="81" spans="1:15" x14ac:dyDescent="0.45">
      <c r="A81" s="5" t="s">
        <v>7</v>
      </c>
      <c r="B81">
        <v>17075000</v>
      </c>
      <c r="C81">
        <v>12550000</v>
      </c>
      <c r="D81">
        <v>29625000</v>
      </c>
      <c r="I81" s="4" t="s">
        <v>42</v>
      </c>
      <c r="J81">
        <v>10120000</v>
      </c>
      <c r="K81">
        <v>6815000</v>
      </c>
      <c r="L81">
        <v>16935000</v>
      </c>
    </row>
    <row r="82" spans="1:15" x14ac:dyDescent="0.45">
      <c r="A82" s="5" t="s">
        <v>10</v>
      </c>
      <c r="B82">
        <v>14690000</v>
      </c>
      <c r="C82">
        <v>9820000</v>
      </c>
      <c r="D82">
        <v>24510000</v>
      </c>
      <c r="I82" s="4" t="s">
        <v>43</v>
      </c>
      <c r="J82">
        <v>2955000</v>
      </c>
      <c r="K82">
        <v>9260000</v>
      </c>
      <c r="L82">
        <v>12215000</v>
      </c>
    </row>
    <row r="83" spans="1:15" x14ac:dyDescent="0.45">
      <c r="A83" s="4" t="s">
        <v>58</v>
      </c>
      <c r="B83">
        <v>21490000</v>
      </c>
      <c r="C83">
        <v>24600000</v>
      </c>
      <c r="D83">
        <v>46090000</v>
      </c>
      <c r="I83" s="4" t="s">
        <v>44</v>
      </c>
      <c r="J83">
        <v>12800000</v>
      </c>
      <c r="K83">
        <v>270000</v>
      </c>
      <c r="L83">
        <v>13070000</v>
      </c>
    </row>
    <row r="84" spans="1:15" x14ac:dyDescent="0.45">
      <c r="A84" s="5" t="s">
        <v>8</v>
      </c>
      <c r="B84">
        <v>10885000</v>
      </c>
      <c r="C84">
        <v>13810000</v>
      </c>
      <c r="D84">
        <v>24695000</v>
      </c>
      <c r="I84" s="4" t="s">
        <v>45</v>
      </c>
      <c r="J84">
        <v>13555000</v>
      </c>
      <c r="K84">
        <v>7605000</v>
      </c>
      <c r="L84">
        <v>21160000</v>
      </c>
    </row>
    <row r="85" spans="1:15" x14ac:dyDescent="0.45">
      <c r="A85" s="5" t="s">
        <v>9</v>
      </c>
      <c r="B85">
        <v>10605000</v>
      </c>
      <c r="C85">
        <v>10790000</v>
      </c>
      <c r="D85">
        <v>21395000</v>
      </c>
      <c r="I85" s="4" t="s">
        <v>46</v>
      </c>
      <c r="J85">
        <v>1650000</v>
      </c>
      <c r="K85">
        <v>15015000</v>
      </c>
      <c r="L85">
        <v>16665000</v>
      </c>
    </row>
    <row r="86" spans="1:15" x14ac:dyDescent="0.45">
      <c r="A86" s="4" t="s">
        <v>35</v>
      </c>
      <c r="B86">
        <v>53255000</v>
      </c>
      <c r="C86">
        <v>46970000</v>
      </c>
      <c r="D86">
        <v>100225000</v>
      </c>
      <c r="I86" s="4" t="s">
        <v>35</v>
      </c>
      <c r="J86">
        <v>54135000</v>
      </c>
      <c r="K86">
        <v>46090000</v>
      </c>
      <c r="L86">
        <v>100225000</v>
      </c>
    </row>
    <row r="89" spans="1:15" x14ac:dyDescent="0.45">
      <c r="O89" s="6"/>
    </row>
  </sheetData>
  <mergeCells count="13">
    <mergeCell ref="A1:B1"/>
    <mergeCell ref="A3:C3"/>
    <mergeCell ref="I19:K19"/>
    <mergeCell ref="I17:K17"/>
    <mergeCell ref="I1:K1"/>
    <mergeCell ref="I74:K74"/>
    <mergeCell ref="I55:L55"/>
    <mergeCell ref="I3:J3"/>
    <mergeCell ref="A14:B14"/>
    <mergeCell ref="A38:C38"/>
    <mergeCell ref="A55:D55"/>
    <mergeCell ref="A74:B74"/>
    <mergeCell ref="A36:B36"/>
  </mergeCells>
  <pageMargins left="0.7" right="0.7" top="0.75" bottom="0.75" header="0.3" footer="0.3"/>
  <pageSetup orientation="portrait" r:id="rId10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79C3-9465-41F9-9B5D-5975458A2A37}">
  <dimension ref="A3:D10"/>
  <sheetViews>
    <sheetView workbookViewId="0">
      <selection activeCell="A3" sqref="A3:B10"/>
    </sheetView>
  </sheetViews>
  <sheetFormatPr defaultRowHeight="14.25" x14ac:dyDescent="0.45"/>
  <cols>
    <col min="1" max="1" width="12.06640625" bestFit="1" customWidth="1"/>
    <col min="2" max="2" width="15.265625" bestFit="1" customWidth="1"/>
    <col min="4" max="4" width="29.06640625" customWidth="1"/>
  </cols>
  <sheetData>
    <row r="3" spans="1:4" x14ac:dyDescent="0.45">
      <c r="A3" s="3" t="s">
        <v>34</v>
      </c>
      <c r="B3" t="s">
        <v>37</v>
      </c>
    </row>
    <row r="4" spans="1:4" x14ac:dyDescent="0.45">
      <c r="A4" s="4" t="s">
        <v>12</v>
      </c>
      <c r="B4">
        <v>246</v>
      </c>
      <c r="D4" s="6" t="s">
        <v>49</v>
      </c>
    </row>
    <row r="5" spans="1:4" x14ac:dyDescent="0.45">
      <c r="A5" s="4" t="s">
        <v>15</v>
      </c>
      <c r="B5">
        <v>84</v>
      </c>
    </row>
    <row r="6" spans="1:4" x14ac:dyDescent="0.45">
      <c r="A6" s="4" t="s">
        <v>11</v>
      </c>
      <c r="B6">
        <v>274</v>
      </c>
    </row>
    <row r="7" spans="1:4" x14ac:dyDescent="0.45">
      <c r="A7" s="4" t="s">
        <v>14</v>
      </c>
      <c r="B7">
        <v>239</v>
      </c>
    </row>
    <row r="8" spans="1:4" x14ac:dyDescent="0.45">
      <c r="A8" s="4" t="s">
        <v>16</v>
      </c>
      <c r="B8">
        <v>134</v>
      </c>
    </row>
    <row r="9" spans="1:4" x14ac:dyDescent="0.45">
      <c r="A9" s="4" t="s">
        <v>13</v>
      </c>
      <c r="B9">
        <v>216</v>
      </c>
    </row>
    <row r="10" spans="1:4" x14ac:dyDescent="0.45">
      <c r="A10" s="4" t="s">
        <v>35</v>
      </c>
      <c r="B10">
        <v>1193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C885D-CDC3-406A-9935-10E97F28DD5C}">
  <dimension ref="A3:D12"/>
  <sheetViews>
    <sheetView workbookViewId="0">
      <selection activeCell="A3" sqref="A3:B12"/>
    </sheetView>
  </sheetViews>
  <sheetFormatPr defaultRowHeight="14.25" x14ac:dyDescent="0.45"/>
  <cols>
    <col min="1" max="1" width="12.06640625" bestFit="1" customWidth="1"/>
    <col min="2" max="3" width="15.6640625" bestFit="1" customWidth="1"/>
    <col min="4" max="4" width="32.46484375" customWidth="1"/>
  </cols>
  <sheetData>
    <row r="3" spans="1:4" x14ac:dyDescent="0.45">
      <c r="A3" s="3" t="s">
        <v>34</v>
      </c>
      <c r="B3" t="s">
        <v>38</v>
      </c>
    </row>
    <row r="4" spans="1:4" x14ac:dyDescent="0.45">
      <c r="A4" s="4" t="s">
        <v>56</v>
      </c>
      <c r="B4">
        <v>53255000</v>
      </c>
      <c r="D4" s="6" t="s">
        <v>47</v>
      </c>
    </row>
    <row r="5" spans="1:4" x14ac:dyDescent="0.45">
      <c r="A5" s="5" t="s">
        <v>17</v>
      </c>
      <c r="B5">
        <v>3015000</v>
      </c>
    </row>
    <row r="6" spans="1:4" x14ac:dyDescent="0.45">
      <c r="A6" s="5" t="s">
        <v>21</v>
      </c>
      <c r="B6">
        <v>1240000</v>
      </c>
    </row>
    <row r="7" spans="1:4" x14ac:dyDescent="0.45">
      <c r="A7" s="5" t="s">
        <v>22</v>
      </c>
      <c r="B7">
        <v>49000000</v>
      </c>
    </row>
    <row r="8" spans="1:4" x14ac:dyDescent="0.45">
      <c r="A8" s="4" t="s">
        <v>58</v>
      </c>
      <c r="B8">
        <v>46970000</v>
      </c>
    </row>
    <row r="9" spans="1:4" x14ac:dyDescent="0.45">
      <c r="A9" s="5" t="s">
        <v>20</v>
      </c>
      <c r="B9">
        <v>19600000</v>
      </c>
    </row>
    <row r="10" spans="1:4" x14ac:dyDescent="0.45">
      <c r="A10" s="5" t="s">
        <v>19</v>
      </c>
      <c r="B10">
        <v>1330000</v>
      </c>
    </row>
    <row r="11" spans="1:4" x14ac:dyDescent="0.45">
      <c r="A11" s="5" t="s">
        <v>18</v>
      </c>
      <c r="B11">
        <v>26040000</v>
      </c>
    </row>
    <row r="12" spans="1:4" x14ac:dyDescent="0.45">
      <c r="A12" s="4" t="s">
        <v>35</v>
      </c>
      <c r="B12">
        <v>100225000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4783C-0F18-4191-8A1E-C995BB6E7E7B}">
  <dimension ref="A3:D12"/>
  <sheetViews>
    <sheetView topLeftCell="A2" workbookViewId="0">
      <selection activeCell="A3" sqref="A3:D12"/>
      <pivotSelection pane="bottomRight" activeRow="2" previousRow="2" click="1" r:id="rId1">
        <pivotArea type="all" dataOnly="0" outline="0" fieldPosition="0"/>
      </pivotSelection>
    </sheetView>
  </sheetViews>
  <sheetFormatPr defaultRowHeight="14.25" x14ac:dyDescent="0.45"/>
  <cols>
    <col min="1" max="1" width="15.6640625" bestFit="1" customWidth="1"/>
    <col min="2" max="2" width="14.73046875" bestFit="1" customWidth="1"/>
    <col min="3" max="3" width="8.73046875" bestFit="1" customWidth="1"/>
    <col min="4" max="4" width="10.19921875" bestFit="1" customWidth="1"/>
    <col min="5" max="5" width="8.73046875" bestFit="1" customWidth="1"/>
    <col min="6" max="6" width="11.33203125" bestFit="1" customWidth="1"/>
    <col min="7" max="7" width="10.19921875" bestFit="1" customWidth="1"/>
    <col min="8" max="8" width="10.796875" bestFit="1" customWidth="1"/>
    <col min="9" max="9" width="10.19921875" bestFit="1" customWidth="1"/>
    <col min="10" max="10" width="8.73046875" bestFit="1" customWidth="1"/>
    <col min="11" max="11" width="10.796875" bestFit="1" customWidth="1"/>
    <col min="12" max="12" width="10.19921875" bestFit="1" customWidth="1"/>
  </cols>
  <sheetData>
    <row r="3" spans="1:4" x14ac:dyDescent="0.45">
      <c r="A3" s="3" t="s">
        <v>38</v>
      </c>
      <c r="B3" s="3" t="s">
        <v>36</v>
      </c>
    </row>
    <row r="4" spans="1:4" x14ac:dyDescent="0.45">
      <c r="B4" t="s">
        <v>56</v>
      </c>
      <c r="C4" t="s">
        <v>58</v>
      </c>
      <c r="D4" t="s">
        <v>35</v>
      </c>
    </row>
    <row r="5" spans="1:4" x14ac:dyDescent="0.45">
      <c r="A5" s="3" t="s">
        <v>34</v>
      </c>
    </row>
    <row r="6" spans="1:4" x14ac:dyDescent="0.45">
      <c r="A6" s="4" t="s">
        <v>12</v>
      </c>
      <c r="B6">
        <v>16605000</v>
      </c>
      <c r="C6">
        <v>9625000</v>
      </c>
      <c r="D6">
        <v>26230000</v>
      </c>
    </row>
    <row r="7" spans="1:4" x14ac:dyDescent="0.45">
      <c r="A7" s="4" t="s">
        <v>15</v>
      </c>
      <c r="B7">
        <v>4970000</v>
      </c>
      <c r="C7">
        <v>6015000</v>
      </c>
      <c r="D7">
        <v>10985000</v>
      </c>
    </row>
    <row r="8" spans="1:4" x14ac:dyDescent="0.45">
      <c r="A8" s="4" t="s">
        <v>11</v>
      </c>
      <c r="B8">
        <v>11235000</v>
      </c>
      <c r="C8">
        <v>9170000</v>
      </c>
      <c r="D8">
        <v>20405000</v>
      </c>
    </row>
    <row r="9" spans="1:4" x14ac:dyDescent="0.45">
      <c r="A9" s="4" t="s">
        <v>14</v>
      </c>
      <c r="B9">
        <v>4140000</v>
      </c>
      <c r="C9">
        <v>10440000</v>
      </c>
      <c r="D9">
        <v>14580000</v>
      </c>
    </row>
    <row r="10" spans="1:4" x14ac:dyDescent="0.45">
      <c r="A10" s="4" t="s">
        <v>16</v>
      </c>
      <c r="B10">
        <v>8515000</v>
      </c>
      <c r="C10">
        <v>1165000</v>
      </c>
      <c r="D10">
        <v>9680000</v>
      </c>
    </row>
    <row r="11" spans="1:4" x14ac:dyDescent="0.45">
      <c r="A11" s="4" t="s">
        <v>13</v>
      </c>
      <c r="B11">
        <v>7790000</v>
      </c>
      <c r="C11">
        <v>10555000</v>
      </c>
      <c r="D11">
        <v>18345000</v>
      </c>
    </row>
    <row r="12" spans="1:4" x14ac:dyDescent="0.45">
      <c r="A12" s="4" t="s">
        <v>35</v>
      </c>
      <c r="B12">
        <v>53255000</v>
      </c>
      <c r="C12">
        <v>46970000</v>
      </c>
      <c r="D12">
        <v>100225000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CB2E8-9CDA-4BF8-BE9D-00321E752946}">
  <dimension ref="A1:H14"/>
  <sheetViews>
    <sheetView workbookViewId="0">
      <selection activeCell="H5" sqref="H5"/>
    </sheetView>
  </sheetViews>
  <sheetFormatPr defaultRowHeight="14.25" x14ac:dyDescent="0.45"/>
  <cols>
    <col min="1" max="1" width="15.6640625" bestFit="1" customWidth="1"/>
    <col min="2" max="2" width="14.73046875" bestFit="1" customWidth="1"/>
    <col min="3" max="3" width="8.73046875" bestFit="1" customWidth="1"/>
    <col min="4" max="4" width="11.33203125" bestFit="1" customWidth="1"/>
    <col min="5" max="6" width="8.73046875" bestFit="1" customWidth="1"/>
    <col min="7" max="7" width="11.33203125" bestFit="1" customWidth="1"/>
    <col min="8" max="9" width="10.19921875" bestFit="1" customWidth="1"/>
  </cols>
  <sheetData>
    <row r="1" spans="1:8" x14ac:dyDescent="0.45">
      <c r="A1" s="3" t="s">
        <v>0</v>
      </c>
      <c r="B1" t="s">
        <v>39</v>
      </c>
    </row>
    <row r="3" spans="1:8" x14ac:dyDescent="0.45">
      <c r="A3" s="3" t="s">
        <v>38</v>
      </c>
      <c r="B3" s="3" t="s">
        <v>36</v>
      </c>
    </row>
    <row r="4" spans="1:8" x14ac:dyDescent="0.45">
      <c r="B4" t="s">
        <v>56</v>
      </c>
      <c r="D4" t="s">
        <v>57</v>
      </c>
      <c r="E4" t="s">
        <v>58</v>
      </c>
      <c r="G4" t="s">
        <v>59</v>
      </c>
      <c r="H4" t="s">
        <v>35</v>
      </c>
    </row>
    <row r="5" spans="1:8" x14ac:dyDescent="0.45">
      <c r="A5" s="3" t="s">
        <v>34</v>
      </c>
      <c r="B5" t="s">
        <v>7</v>
      </c>
      <c r="C5" t="s">
        <v>10</v>
      </c>
      <c r="E5" t="s">
        <v>8</v>
      </c>
      <c r="F5" t="s">
        <v>9</v>
      </c>
    </row>
    <row r="6" spans="1:8" x14ac:dyDescent="0.45">
      <c r="A6" s="4" t="s">
        <v>56</v>
      </c>
      <c r="B6">
        <v>17075000</v>
      </c>
      <c r="C6">
        <v>14690000</v>
      </c>
      <c r="D6">
        <v>31765000</v>
      </c>
      <c r="E6">
        <v>10885000</v>
      </c>
      <c r="F6">
        <v>10605000</v>
      </c>
      <c r="G6">
        <v>21490000</v>
      </c>
      <c r="H6">
        <v>53255000</v>
      </c>
    </row>
    <row r="7" spans="1:8" x14ac:dyDescent="0.45">
      <c r="A7" s="5" t="s">
        <v>17</v>
      </c>
      <c r="B7">
        <v>1275000</v>
      </c>
      <c r="C7">
        <v>750000</v>
      </c>
      <c r="D7">
        <v>2025000</v>
      </c>
      <c r="E7">
        <v>585000</v>
      </c>
      <c r="F7">
        <v>405000</v>
      </c>
      <c r="G7">
        <v>990000</v>
      </c>
      <c r="H7">
        <v>3015000</v>
      </c>
    </row>
    <row r="8" spans="1:8" x14ac:dyDescent="0.45">
      <c r="A8" s="5" t="s">
        <v>21</v>
      </c>
      <c r="B8">
        <v>50000</v>
      </c>
      <c r="C8">
        <v>640000</v>
      </c>
      <c r="D8">
        <v>690000</v>
      </c>
      <c r="E8">
        <v>150000</v>
      </c>
      <c r="F8">
        <v>400000</v>
      </c>
      <c r="G8">
        <v>550000</v>
      </c>
      <c r="H8">
        <v>1240000</v>
      </c>
    </row>
    <row r="9" spans="1:8" x14ac:dyDescent="0.45">
      <c r="A9" s="5" t="s">
        <v>22</v>
      </c>
      <c r="B9">
        <v>15750000</v>
      </c>
      <c r="C9">
        <v>13300000</v>
      </c>
      <c r="D9">
        <v>29050000</v>
      </c>
      <c r="E9">
        <v>10150000</v>
      </c>
      <c r="F9">
        <v>9800000</v>
      </c>
      <c r="G9">
        <v>19950000</v>
      </c>
      <c r="H9">
        <v>49000000</v>
      </c>
    </row>
    <row r="10" spans="1:8" x14ac:dyDescent="0.45">
      <c r="A10" s="4" t="s">
        <v>58</v>
      </c>
      <c r="B10">
        <v>12550000</v>
      </c>
      <c r="C10">
        <v>9820000</v>
      </c>
      <c r="D10">
        <v>22370000</v>
      </c>
      <c r="E10">
        <v>13810000</v>
      </c>
      <c r="F10">
        <v>10790000</v>
      </c>
      <c r="G10">
        <v>24600000</v>
      </c>
      <c r="H10">
        <v>46970000</v>
      </c>
    </row>
    <row r="11" spans="1:8" x14ac:dyDescent="0.45">
      <c r="A11" s="5" t="s">
        <v>20</v>
      </c>
      <c r="B11">
        <v>5520000</v>
      </c>
      <c r="C11">
        <v>5360000</v>
      </c>
      <c r="D11">
        <v>10880000</v>
      </c>
      <c r="E11">
        <v>4800000</v>
      </c>
      <c r="F11">
        <v>3920000</v>
      </c>
      <c r="G11">
        <v>8720000</v>
      </c>
      <c r="H11">
        <v>19600000</v>
      </c>
    </row>
    <row r="12" spans="1:8" x14ac:dyDescent="0.45">
      <c r="A12" s="5" t="s">
        <v>19</v>
      </c>
      <c r="B12">
        <v>430000</v>
      </c>
      <c r="C12">
        <v>380000</v>
      </c>
      <c r="D12">
        <v>810000</v>
      </c>
      <c r="E12">
        <v>250000</v>
      </c>
      <c r="F12">
        <v>270000</v>
      </c>
      <c r="G12">
        <v>520000</v>
      </c>
      <c r="H12">
        <v>1330000</v>
      </c>
    </row>
    <row r="13" spans="1:8" x14ac:dyDescent="0.45">
      <c r="A13" s="5" t="s">
        <v>18</v>
      </c>
      <c r="B13">
        <v>6600000</v>
      </c>
      <c r="C13">
        <v>4080000</v>
      </c>
      <c r="D13">
        <v>10680000</v>
      </c>
      <c r="E13">
        <v>8760000</v>
      </c>
      <c r="F13">
        <v>6600000</v>
      </c>
      <c r="G13">
        <v>15360000</v>
      </c>
      <c r="H13">
        <v>26040000</v>
      </c>
    </row>
    <row r="14" spans="1:8" x14ac:dyDescent="0.45">
      <c r="A14" s="4" t="s">
        <v>35</v>
      </c>
      <c r="B14">
        <v>29625000</v>
      </c>
      <c r="C14">
        <v>24510000</v>
      </c>
      <c r="D14">
        <v>54135000</v>
      </c>
      <c r="E14">
        <v>24695000</v>
      </c>
      <c r="F14">
        <v>21395000</v>
      </c>
      <c r="G14">
        <v>46090000</v>
      </c>
      <c r="H14">
        <v>100225000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6692-AB80-4BC4-9805-386F36A1A0B9}">
  <dimension ref="A3:D12"/>
  <sheetViews>
    <sheetView workbookViewId="0">
      <selection activeCell="D4" sqref="D4"/>
    </sheetView>
  </sheetViews>
  <sheetFormatPr defaultRowHeight="14.25" x14ac:dyDescent="0.45"/>
  <cols>
    <col min="1" max="1" width="12.06640625" bestFit="1" customWidth="1"/>
    <col min="2" max="2" width="18" bestFit="1" customWidth="1"/>
    <col min="4" max="4" width="40.9296875" customWidth="1"/>
  </cols>
  <sheetData>
    <row r="3" spans="1:4" x14ac:dyDescent="0.45">
      <c r="A3" s="3" t="s">
        <v>34</v>
      </c>
      <c r="B3" t="s">
        <v>40</v>
      </c>
    </row>
    <row r="4" spans="1:4" x14ac:dyDescent="0.45">
      <c r="A4" s="4" t="s">
        <v>56</v>
      </c>
      <c r="B4">
        <v>125277.77777777778</v>
      </c>
      <c r="D4" s="6" t="s">
        <v>51</v>
      </c>
    </row>
    <row r="5" spans="1:4" x14ac:dyDescent="0.45">
      <c r="A5" s="5" t="s">
        <v>17</v>
      </c>
      <c r="B5">
        <v>15000</v>
      </c>
    </row>
    <row r="6" spans="1:4" x14ac:dyDescent="0.45">
      <c r="A6" s="5" t="s">
        <v>21</v>
      </c>
      <c r="B6">
        <v>10000</v>
      </c>
    </row>
    <row r="7" spans="1:4" x14ac:dyDescent="0.45">
      <c r="A7" s="5" t="s">
        <v>22</v>
      </c>
      <c r="B7">
        <v>350000</v>
      </c>
    </row>
    <row r="8" spans="1:4" x14ac:dyDescent="0.45">
      <c r="A8" s="4" t="s">
        <v>58</v>
      </c>
      <c r="B8">
        <v>65984.84848484848</v>
      </c>
    </row>
    <row r="9" spans="1:4" x14ac:dyDescent="0.45">
      <c r="A9" s="5" t="s">
        <v>20</v>
      </c>
      <c r="B9">
        <v>80000</v>
      </c>
    </row>
    <row r="10" spans="1:4" x14ac:dyDescent="0.45">
      <c r="A10" s="5" t="s">
        <v>19</v>
      </c>
      <c r="B10">
        <v>5000</v>
      </c>
    </row>
    <row r="11" spans="1:4" x14ac:dyDescent="0.45">
      <c r="A11" s="5" t="s">
        <v>18</v>
      </c>
      <c r="B11">
        <v>120000</v>
      </c>
    </row>
    <row r="12" spans="1:4" x14ac:dyDescent="0.45">
      <c r="A12" s="4" t="s">
        <v>35</v>
      </c>
      <c r="B12">
        <v>92666.666666666672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A5CBA-F9F8-441A-B464-5240B060A6FD}">
  <dimension ref="A3:D12"/>
  <sheetViews>
    <sheetView workbookViewId="0">
      <selection activeCell="A3" sqref="A3:D12"/>
      <pivotSelection pane="bottomRight" activeRow="2" previousRow="2" click="1" r:id="rId1">
        <pivotArea type="all" dataOnly="0" outline="0" fieldPosition="0"/>
      </pivotSelection>
    </sheetView>
  </sheetViews>
  <sheetFormatPr defaultRowHeight="14.25" x14ac:dyDescent="0.45"/>
  <cols>
    <col min="1" max="1" width="15.6640625" bestFit="1" customWidth="1"/>
    <col min="2" max="2" width="14.73046875" bestFit="1" customWidth="1"/>
    <col min="3" max="3" width="8.73046875" bestFit="1" customWidth="1"/>
    <col min="4" max="4" width="10.19921875" bestFit="1" customWidth="1"/>
    <col min="5" max="5" width="8.73046875" bestFit="1" customWidth="1"/>
    <col min="6" max="6" width="10.19921875" bestFit="1" customWidth="1"/>
    <col min="7" max="7" width="11.33203125" bestFit="1" customWidth="1"/>
    <col min="8" max="9" width="10.19921875" bestFit="1" customWidth="1"/>
    <col min="10" max="28" width="17.59765625" bestFit="1" customWidth="1"/>
    <col min="29" max="29" width="8.73046875" bestFit="1" customWidth="1"/>
    <col min="30" max="58" width="17.59765625" bestFit="1" customWidth="1"/>
    <col min="59" max="59" width="10" bestFit="1" customWidth="1"/>
    <col min="60" max="85" width="17.59765625" bestFit="1" customWidth="1"/>
    <col min="86" max="86" width="10.06640625" bestFit="1" customWidth="1"/>
    <col min="87" max="112" width="17.59765625" bestFit="1" customWidth="1"/>
    <col min="113" max="113" width="9.46484375" bestFit="1" customWidth="1"/>
    <col min="114" max="114" width="10.19921875" bestFit="1" customWidth="1"/>
  </cols>
  <sheetData>
    <row r="3" spans="1:4" x14ac:dyDescent="0.45">
      <c r="A3" s="3" t="s">
        <v>38</v>
      </c>
      <c r="B3" s="3" t="s">
        <v>36</v>
      </c>
    </row>
    <row r="4" spans="1:4" x14ac:dyDescent="0.45">
      <c r="B4" t="s">
        <v>56</v>
      </c>
      <c r="C4" t="s">
        <v>58</v>
      </c>
      <c r="D4" t="s">
        <v>35</v>
      </c>
    </row>
    <row r="5" spans="1:4" x14ac:dyDescent="0.45">
      <c r="A5" s="3" t="s">
        <v>34</v>
      </c>
    </row>
    <row r="6" spans="1:4" x14ac:dyDescent="0.45">
      <c r="A6" s="4" t="s">
        <v>41</v>
      </c>
      <c r="B6">
        <v>13055000</v>
      </c>
      <c r="C6">
        <v>7125000</v>
      </c>
      <c r="D6">
        <v>20180000</v>
      </c>
    </row>
    <row r="7" spans="1:4" x14ac:dyDescent="0.45">
      <c r="A7" s="4" t="s">
        <v>42</v>
      </c>
      <c r="B7">
        <v>10120000</v>
      </c>
      <c r="C7">
        <v>6815000</v>
      </c>
      <c r="D7">
        <v>16935000</v>
      </c>
    </row>
    <row r="8" spans="1:4" x14ac:dyDescent="0.45">
      <c r="A8" s="4" t="s">
        <v>43</v>
      </c>
      <c r="B8">
        <v>2955000</v>
      </c>
      <c r="C8">
        <v>9260000</v>
      </c>
      <c r="D8">
        <v>12215000</v>
      </c>
    </row>
    <row r="9" spans="1:4" x14ac:dyDescent="0.45">
      <c r="A9" s="4" t="s">
        <v>44</v>
      </c>
      <c r="B9">
        <v>12800000</v>
      </c>
      <c r="C9">
        <v>270000</v>
      </c>
      <c r="D9">
        <v>13070000</v>
      </c>
    </row>
    <row r="10" spans="1:4" x14ac:dyDescent="0.45">
      <c r="A10" s="4" t="s">
        <v>45</v>
      </c>
      <c r="B10">
        <v>13555000</v>
      </c>
      <c r="C10">
        <v>7605000</v>
      </c>
      <c r="D10">
        <v>21160000</v>
      </c>
    </row>
    <row r="11" spans="1:4" x14ac:dyDescent="0.45">
      <c r="A11" s="4" t="s">
        <v>46</v>
      </c>
      <c r="B11">
        <v>1650000</v>
      </c>
      <c r="C11">
        <v>15015000</v>
      </c>
      <c r="D11">
        <v>16665000</v>
      </c>
    </row>
    <row r="12" spans="1:4" x14ac:dyDescent="0.45">
      <c r="A12" s="4" t="s">
        <v>35</v>
      </c>
      <c r="B12">
        <v>54135000</v>
      </c>
      <c r="C12">
        <v>46090000</v>
      </c>
      <c r="D12">
        <v>100225000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BD92D-52B2-45BA-82D5-281D31D6B05F}">
  <dimension ref="A3:D12"/>
  <sheetViews>
    <sheetView workbookViewId="0">
      <selection activeCell="A3" sqref="A3:D12"/>
      <pivotSelection pane="bottomRight" activeRow="2" previousRow="2" click="1" r:id="rId1">
        <pivotArea type="all" dataOnly="0" outline="0" fieldPosition="0"/>
      </pivotSelection>
    </sheetView>
  </sheetViews>
  <sheetFormatPr defaultRowHeight="14.25" x14ac:dyDescent="0.45"/>
  <cols>
    <col min="1" max="1" width="15.6640625" bestFit="1" customWidth="1"/>
    <col min="2" max="2" width="14.73046875" bestFit="1" customWidth="1"/>
    <col min="3" max="3" width="8.73046875" bestFit="1" customWidth="1"/>
    <col min="4" max="4" width="10.19921875" bestFit="1" customWidth="1"/>
    <col min="5" max="5" width="8.73046875" bestFit="1" customWidth="1"/>
    <col min="6" max="6" width="11.33203125" bestFit="1" customWidth="1"/>
    <col min="7" max="7" width="10.19921875" bestFit="1" customWidth="1"/>
    <col min="8" max="8" width="8.73046875" bestFit="1" customWidth="1"/>
    <col min="9" max="9" width="11.33203125" bestFit="1" customWidth="1"/>
    <col min="10" max="10" width="10.19921875" bestFit="1" customWidth="1"/>
    <col min="11" max="11" width="10.796875" bestFit="1" customWidth="1"/>
    <col min="12" max="12" width="10.19921875" bestFit="1" customWidth="1"/>
  </cols>
  <sheetData>
    <row r="3" spans="1:4" x14ac:dyDescent="0.45">
      <c r="A3" s="3" t="s">
        <v>38</v>
      </c>
      <c r="B3" s="3" t="s">
        <v>36</v>
      </c>
    </row>
    <row r="4" spans="1:4" x14ac:dyDescent="0.45">
      <c r="B4" t="s">
        <v>56</v>
      </c>
      <c r="C4" t="s">
        <v>58</v>
      </c>
      <c r="D4" t="s">
        <v>35</v>
      </c>
    </row>
    <row r="5" spans="1:4" x14ac:dyDescent="0.45">
      <c r="A5" s="3" t="s">
        <v>34</v>
      </c>
    </row>
    <row r="6" spans="1:4" x14ac:dyDescent="0.45">
      <c r="A6" s="4" t="s">
        <v>56</v>
      </c>
      <c r="B6">
        <v>31765000</v>
      </c>
      <c r="C6">
        <v>22370000</v>
      </c>
      <c r="D6">
        <v>54135000</v>
      </c>
    </row>
    <row r="7" spans="1:4" x14ac:dyDescent="0.45">
      <c r="A7" s="5" t="s">
        <v>7</v>
      </c>
      <c r="B7">
        <v>17075000</v>
      </c>
      <c r="C7">
        <v>12550000</v>
      </c>
      <c r="D7">
        <v>29625000</v>
      </c>
    </row>
    <row r="8" spans="1:4" x14ac:dyDescent="0.45">
      <c r="A8" s="5" t="s">
        <v>10</v>
      </c>
      <c r="B8">
        <v>14690000</v>
      </c>
      <c r="C8">
        <v>9820000</v>
      </c>
      <c r="D8">
        <v>24510000</v>
      </c>
    </row>
    <row r="9" spans="1:4" x14ac:dyDescent="0.45">
      <c r="A9" s="4" t="s">
        <v>58</v>
      </c>
      <c r="B9">
        <v>21490000</v>
      </c>
      <c r="C9">
        <v>24600000</v>
      </c>
      <c r="D9">
        <v>46090000</v>
      </c>
    </row>
    <row r="10" spans="1:4" x14ac:dyDescent="0.45">
      <c r="A10" s="5" t="s">
        <v>8</v>
      </c>
      <c r="B10">
        <v>10885000</v>
      </c>
      <c r="C10">
        <v>13810000</v>
      </c>
      <c r="D10">
        <v>24695000</v>
      </c>
    </row>
    <row r="11" spans="1:4" x14ac:dyDescent="0.45">
      <c r="A11" s="5" t="s">
        <v>9</v>
      </c>
      <c r="B11">
        <v>10605000</v>
      </c>
      <c r="C11">
        <v>10790000</v>
      </c>
      <c r="D11">
        <v>21395000</v>
      </c>
    </row>
    <row r="12" spans="1:4" x14ac:dyDescent="0.45">
      <c r="A12" s="4" t="s">
        <v>35</v>
      </c>
      <c r="B12">
        <v>53255000</v>
      </c>
      <c r="C12">
        <v>46970000</v>
      </c>
      <c r="D12">
        <v>100225000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475C-E635-4801-BDC7-44E4920C5FB0}">
  <dimension ref="A3:E10"/>
  <sheetViews>
    <sheetView workbookViewId="0">
      <selection activeCell="A3" sqref="A3:C10"/>
    </sheetView>
  </sheetViews>
  <sheetFormatPr defaultRowHeight="14.25" x14ac:dyDescent="0.45"/>
  <cols>
    <col min="1" max="1" width="12.06640625" bestFit="1" customWidth="1"/>
    <col min="2" max="2" width="15.6640625" bestFit="1" customWidth="1"/>
    <col min="3" max="3" width="15.265625" bestFit="1" customWidth="1"/>
    <col min="4" max="4" width="14.86328125" bestFit="1" customWidth="1"/>
    <col min="5" max="5" width="35.796875" customWidth="1"/>
  </cols>
  <sheetData>
    <row r="3" spans="1:5" x14ac:dyDescent="0.45">
      <c r="A3" s="3" t="s">
        <v>34</v>
      </c>
      <c r="B3" t="s">
        <v>38</v>
      </c>
      <c r="C3" t="s">
        <v>37</v>
      </c>
    </row>
    <row r="4" spans="1:5" x14ac:dyDescent="0.45">
      <c r="A4" s="4" t="s">
        <v>12</v>
      </c>
      <c r="B4">
        <v>26230000</v>
      </c>
      <c r="C4">
        <v>246</v>
      </c>
      <c r="E4" s="6" t="s">
        <v>52</v>
      </c>
    </row>
    <row r="5" spans="1:5" x14ac:dyDescent="0.45">
      <c r="A5" s="4" t="s">
        <v>15</v>
      </c>
      <c r="B5">
        <v>10985000</v>
      </c>
      <c r="C5">
        <v>84</v>
      </c>
    </row>
    <row r="6" spans="1:5" x14ac:dyDescent="0.45">
      <c r="A6" s="4" t="s">
        <v>11</v>
      </c>
      <c r="B6">
        <v>20405000</v>
      </c>
      <c r="C6">
        <v>274</v>
      </c>
    </row>
    <row r="7" spans="1:5" x14ac:dyDescent="0.45">
      <c r="A7" s="4" t="s">
        <v>14</v>
      </c>
      <c r="B7">
        <v>14580000</v>
      </c>
      <c r="C7">
        <v>239</v>
      </c>
    </row>
    <row r="8" spans="1:5" x14ac:dyDescent="0.45">
      <c r="A8" s="4" t="s">
        <v>16</v>
      </c>
      <c r="B8">
        <v>9680000</v>
      </c>
      <c r="C8">
        <v>134</v>
      </c>
    </row>
    <row r="9" spans="1:5" x14ac:dyDescent="0.45">
      <c r="A9" s="4" t="s">
        <v>13</v>
      </c>
      <c r="B9">
        <v>18345000</v>
      </c>
      <c r="C9">
        <v>216</v>
      </c>
    </row>
    <row r="10" spans="1:5" x14ac:dyDescent="0.45">
      <c r="A10" s="4" t="s">
        <v>35</v>
      </c>
      <c r="B10">
        <v>100225000</v>
      </c>
      <c r="C10">
        <v>1193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0F0E-CD62-4F1B-82EF-CBAB66D69EEB}">
  <dimension ref="O11:O12"/>
  <sheetViews>
    <sheetView topLeftCell="A2" workbookViewId="0">
      <selection activeCell="A3" sqref="A3:B10"/>
    </sheetView>
  </sheetViews>
  <sheetFormatPr defaultRowHeight="14.25" x14ac:dyDescent="0.45"/>
  <cols>
    <col min="1" max="1" width="12.06640625" bestFit="1" customWidth="1"/>
    <col min="2" max="2" width="15.6640625" bestFit="1" customWidth="1"/>
    <col min="15" max="15" width="45" customWidth="1"/>
  </cols>
  <sheetData>
    <row r="11" spans="15:15" x14ac:dyDescent="0.45">
      <c r="O11" s="6" t="s">
        <v>53</v>
      </c>
    </row>
    <row r="12" spans="15:15" x14ac:dyDescent="0.45">
      <c r="O12" s="6" t="s">
        <v>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21"/>
  <sheetViews>
    <sheetView workbookViewId="0">
      <selection activeCell="C137" sqref="C137"/>
    </sheetView>
  </sheetViews>
  <sheetFormatPr defaultRowHeight="14.25" x14ac:dyDescent="0.45"/>
  <cols>
    <col min="1" max="1" width="19.53125" customWidth="1"/>
    <col min="3" max="3" width="15.6640625" customWidth="1"/>
    <col min="4" max="4" width="11.19921875" customWidth="1"/>
    <col min="5" max="5" width="10.9296875" customWidth="1"/>
    <col min="6" max="6" width="11.6640625" customWidth="1"/>
    <col min="7" max="7" width="11.53125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idden="1" x14ac:dyDescent="0.45">
      <c r="A2" s="2">
        <v>45659</v>
      </c>
      <c r="B2" t="s">
        <v>7</v>
      </c>
      <c r="C2" t="s">
        <v>11</v>
      </c>
      <c r="D2" t="s">
        <v>17</v>
      </c>
      <c r="E2">
        <v>15</v>
      </c>
      <c r="F2">
        <v>15000</v>
      </c>
      <c r="G2">
        <v>225000</v>
      </c>
    </row>
    <row r="3" spans="1:7" hidden="1" x14ac:dyDescent="0.45">
      <c r="A3" s="2">
        <v>45659</v>
      </c>
      <c r="B3" t="s">
        <v>8</v>
      </c>
      <c r="C3" t="s">
        <v>11</v>
      </c>
      <c r="D3" t="s">
        <v>18</v>
      </c>
      <c r="E3">
        <v>18</v>
      </c>
      <c r="F3">
        <v>120000</v>
      </c>
      <c r="G3">
        <v>2160000</v>
      </c>
    </row>
    <row r="4" spans="1:7" hidden="1" x14ac:dyDescent="0.45">
      <c r="A4" s="2">
        <v>45661</v>
      </c>
      <c r="B4" t="s">
        <v>7</v>
      </c>
      <c r="C4" t="s">
        <v>12</v>
      </c>
      <c r="D4" t="s">
        <v>19</v>
      </c>
      <c r="E4">
        <v>10</v>
      </c>
      <c r="F4">
        <v>5000</v>
      </c>
      <c r="G4">
        <v>50000</v>
      </c>
    </row>
    <row r="5" spans="1:7" hidden="1" x14ac:dyDescent="0.45">
      <c r="A5" s="2">
        <v>45662</v>
      </c>
      <c r="B5" t="s">
        <v>8</v>
      </c>
      <c r="C5" t="s">
        <v>13</v>
      </c>
      <c r="D5" t="s">
        <v>20</v>
      </c>
      <c r="E5">
        <v>12</v>
      </c>
      <c r="F5">
        <v>80000</v>
      </c>
      <c r="G5">
        <v>960000</v>
      </c>
    </row>
    <row r="6" spans="1:7" hidden="1" x14ac:dyDescent="0.45">
      <c r="A6" s="2">
        <v>45665</v>
      </c>
      <c r="B6" t="s">
        <v>8</v>
      </c>
      <c r="C6" t="s">
        <v>13</v>
      </c>
      <c r="D6" t="s">
        <v>17</v>
      </c>
      <c r="E6">
        <v>10</v>
      </c>
      <c r="F6">
        <v>15000</v>
      </c>
      <c r="G6">
        <v>150000</v>
      </c>
    </row>
    <row r="7" spans="1:7" hidden="1" x14ac:dyDescent="0.45">
      <c r="A7" s="2">
        <v>45666</v>
      </c>
      <c r="B7" t="s">
        <v>9</v>
      </c>
      <c r="C7" t="s">
        <v>12</v>
      </c>
      <c r="D7" t="s">
        <v>19</v>
      </c>
      <c r="E7">
        <v>12</v>
      </c>
      <c r="F7">
        <v>5000</v>
      </c>
      <c r="G7">
        <v>60000</v>
      </c>
    </row>
    <row r="8" spans="1:7" hidden="1" x14ac:dyDescent="0.45">
      <c r="A8" s="2">
        <v>45666</v>
      </c>
      <c r="B8" t="s">
        <v>10</v>
      </c>
      <c r="C8" t="s">
        <v>14</v>
      </c>
      <c r="D8" t="s">
        <v>21</v>
      </c>
      <c r="E8">
        <v>19</v>
      </c>
      <c r="F8">
        <v>10000</v>
      </c>
      <c r="G8">
        <v>190000</v>
      </c>
    </row>
    <row r="9" spans="1:7" hidden="1" x14ac:dyDescent="0.45">
      <c r="A9" s="2">
        <v>45669</v>
      </c>
      <c r="B9" t="s">
        <v>9</v>
      </c>
      <c r="C9" t="s">
        <v>13</v>
      </c>
      <c r="D9" t="s">
        <v>22</v>
      </c>
      <c r="E9">
        <v>7</v>
      </c>
      <c r="F9">
        <v>350000</v>
      </c>
      <c r="G9">
        <v>2450000</v>
      </c>
    </row>
    <row r="10" spans="1:7" hidden="1" x14ac:dyDescent="0.45">
      <c r="A10" s="2">
        <v>45671</v>
      </c>
      <c r="B10" t="s">
        <v>10</v>
      </c>
      <c r="C10" t="s">
        <v>11</v>
      </c>
      <c r="D10" t="s">
        <v>22</v>
      </c>
      <c r="E10">
        <v>1</v>
      </c>
      <c r="F10">
        <v>350000</v>
      </c>
      <c r="G10">
        <v>350000</v>
      </c>
    </row>
    <row r="11" spans="1:7" hidden="1" x14ac:dyDescent="0.45">
      <c r="A11" s="2">
        <v>45671</v>
      </c>
      <c r="B11" t="s">
        <v>10</v>
      </c>
      <c r="C11" t="s">
        <v>13</v>
      </c>
      <c r="D11" t="s">
        <v>22</v>
      </c>
      <c r="E11">
        <v>4</v>
      </c>
      <c r="F11">
        <v>350000</v>
      </c>
      <c r="G11">
        <v>1400000</v>
      </c>
    </row>
    <row r="12" spans="1:7" hidden="1" x14ac:dyDescent="0.45">
      <c r="A12" s="2">
        <v>45672</v>
      </c>
      <c r="B12" t="s">
        <v>10</v>
      </c>
      <c r="C12" t="s">
        <v>15</v>
      </c>
      <c r="D12" t="s">
        <v>21</v>
      </c>
      <c r="E12">
        <v>2</v>
      </c>
      <c r="F12">
        <v>10000</v>
      </c>
      <c r="G12">
        <v>20000</v>
      </c>
    </row>
    <row r="13" spans="1:7" hidden="1" x14ac:dyDescent="0.45">
      <c r="A13" s="2">
        <v>45672</v>
      </c>
      <c r="B13" t="s">
        <v>8</v>
      </c>
      <c r="C13" t="s">
        <v>11</v>
      </c>
      <c r="D13" t="s">
        <v>17</v>
      </c>
      <c r="E13">
        <v>11</v>
      </c>
      <c r="F13">
        <v>15000</v>
      </c>
      <c r="G13">
        <v>165000</v>
      </c>
    </row>
    <row r="14" spans="1:7" hidden="1" x14ac:dyDescent="0.45">
      <c r="A14" s="2">
        <v>45672</v>
      </c>
      <c r="B14" t="s">
        <v>10</v>
      </c>
      <c r="C14" t="s">
        <v>15</v>
      </c>
      <c r="D14" t="s">
        <v>20</v>
      </c>
      <c r="E14">
        <v>4</v>
      </c>
      <c r="F14">
        <v>80000</v>
      </c>
      <c r="G14">
        <v>320000</v>
      </c>
    </row>
    <row r="15" spans="1:7" hidden="1" x14ac:dyDescent="0.45">
      <c r="A15" s="2">
        <v>45672</v>
      </c>
      <c r="B15" t="s">
        <v>9</v>
      </c>
      <c r="C15" t="s">
        <v>13</v>
      </c>
      <c r="D15" t="s">
        <v>21</v>
      </c>
      <c r="E15">
        <v>4</v>
      </c>
      <c r="F15">
        <v>10000</v>
      </c>
      <c r="G15">
        <v>40000</v>
      </c>
    </row>
    <row r="16" spans="1:7" hidden="1" x14ac:dyDescent="0.45">
      <c r="A16" s="2">
        <v>45675</v>
      </c>
      <c r="B16" t="s">
        <v>8</v>
      </c>
      <c r="C16" t="s">
        <v>12</v>
      </c>
      <c r="D16" t="s">
        <v>20</v>
      </c>
      <c r="E16">
        <v>12</v>
      </c>
      <c r="F16">
        <v>80000</v>
      </c>
      <c r="G16">
        <v>960000</v>
      </c>
    </row>
    <row r="17" spans="1:7" hidden="1" x14ac:dyDescent="0.45">
      <c r="A17" s="2">
        <v>45678</v>
      </c>
      <c r="B17" t="s">
        <v>7</v>
      </c>
      <c r="C17" t="s">
        <v>15</v>
      </c>
      <c r="D17" t="s">
        <v>22</v>
      </c>
      <c r="E17">
        <v>13</v>
      </c>
      <c r="F17">
        <v>350000</v>
      </c>
      <c r="G17">
        <v>4550000</v>
      </c>
    </row>
    <row r="18" spans="1:7" hidden="1" x14ac:dyDescent="0.45">
      <c r="A18" s="2">
        <v>45678</v>
      </c>
      <c r="B18" t="s">
        <v>7</v>
      </c>
      <c r="C18" t="s">
        <v>11</v>
      </c>
      <c r="D18" t="s">
        <v>20</v>
      </c>
      <c r="E18">
        <v>16</v>
      </c>
      <c r="F18">
        <v>80000</v>
      </c>
      <c r="G18">
        <v>1280000</v>
      </c>
    </row>
    <row r="19" spans="1:7" hidden="1" x14ac:dyDescent="0.45">
      <c r="A19" s="2">
        <v>45678</v>
      </c>
      <c r="B19" t="s">
        <v>9</v>
      </c>
      <c r="C19" t="s">
        <v>13</v>
      </c>
      <c r="D19" t="s">
        <v>21</v>
      </c>
      <c r="E19">
        <v>16</v>
      </c>
      <c r="F19">
        <v>10000</v>
      </c>
      <c r="G19">
        <v>160000</v>
      </c>
    </row>
    <row r="20" spans="1:7" hidden="1" x14ac:dyDescent="0.45">
      <c r="A20" s="2">
        <v>45679</v>
      </c>
      <c r="B20" t="s">
        <v>9</v>
      </c>
      <c r="C20" t="s">
        <v>14</v>
      </c>
      <c r="D20" t="s">
        <v>19</v>
      </c>
      <c r="E20">
        <v>4</v>
      </c>
      <c r="F20">
        <v>5000</v>
      </c>
      <c r="G20">
        <v>20000</v>
      </c>
    </row>
    <row r="21" spans="1:7" hidden="1" x14ac:dyDescent="0.45">
      <c r="A21" s="2">
        <v>45681</v>
      </c>
      <c r="B21" t="s">
        <v>10</v>
      </c>
      <c r="C21" t="s">
        <v>16</v>
      </c>
      <c r="D21" t="s">
        <v>22</v>
      </c>
      <c r="E21">
        <v>9</v>
      </c>
      <c r="F21">
        <v>350000</v>
      </c>
      <c r="G21">
        <v>3150000</v>
      </c>
    </row>
    <row r="22" spans="1:7" hidden="1" x14ac:dyDescent="0.45">
      <c r="A22" s="2">
        <v>45685</v>
      </c>
      <c r="B22" t="s">
        <v>10</v>
      </c>
      <c r="C22" t="s">
        <v>13</v>
      </c>
      <c r="D22" t="s">
        <v>20</v>
      </c>
      <c r="E22">
        <v>19</v>
      </c>
      <c r="F22">
        <v>80000</v>
      </c>
      <c r="G22">
        <v>1520000</v>
      </c>
    </row>
    <row r="23" spans="1:7" hidden="1" x14ac:dyDescent="0.45">
      <c r="A23" s="2">
        <v>45690</v>
      </c>
      <c r="B23" t="s">
        <v>7</v>
      </c>
      <c r="C23" t="s">
        <v>11</v>
      </c>
      <c r="D23" t="s">
        <v>19</v>
      </c>
      <c r="E23">
        <v>19</v>
      </c>
      <c r="F23">
        <v>5000</v>
      </c>
      <c r="G23">
        <v>95000</v>
      </c>
    </row>
    <row r="24" spans="1:7" hidden="1" x14ac:dyDescent="0.45">
      <c r="A24" s="2">
        <v>45690</v>
      </c>
      <c r="B24" t="s">
        <v>8</v>
      </c>
      <c r="C24" t="s">
        <v>11</v>
      </c>
      <c r="D24" t="s">
        <v>19</v>
      </c>
      <c r="E24">
        <v>17</v>
      </c>
      <c r="F24">
        <v>5000</v>
      </c>
      <c r="G24">
        <v>85000</v>
      </c>
    </row>
    <row r="25" spans="1:7" x14ac:dyDescent="0.45">
      <c r="A25" s="2">
        <v>45692</v>
      </c>
      <c r="B25" t="s">
        <v>9</v>
      </c>
      <c r="C25" t="s">
        <v>14</v>
      </c>
      <c r="D25" t="s">
        <v>19</v>
      </c>
      <c r="E25">
        <v>7</v>
      </c>
      <c r="F25">
        <v>5000</v>
      </c>
      <c r="G25">
        <v>35000</v>
      </c>
    </row>
    <row r="26" spans="1:7" x14ac:dyDescent="0.45">
      <c r="A26" s="2">
        <v>45692</v>
      </c>
      <c r="B26" t="s">
        <v>9</v>
      </c>
      <c r="C26" t="s">
        <v>16</v>
      </c>
      <c r="D26" t="s">
        <v>20</v>
      </c>
      <c r="E26">
        <v>12</v>
      </c>
      <c r="F26">
        <v>80000</v>
      </c>
      <c r="G26">
        <v>960000</v>
      </c>
    </row>
    <row r="27" spans="1:7" x14ac:dyDescent="0.45">
      <c r="A27" s="2">
        <v>45694</v>
      </c>
      <c r="B27" t="s">
        <v>9</v>
      </c>
      <c r="C27" t="s">
        <v>15</v>
      </c>
      <c r="D27" t="s">
        <v>20</v>
      </c>
      <c r="E27">
        <v>3</v>
      </c>
      <c r="F27">
        <v>80000</v>
      </c>
      <c r="G27">
        <v>240000</v>
      </c>
    </row>
    <row r="28" spans="1:7" hidden="1" x14ac:dyDescent="0.45">
      <c r="A28" s="2">
        <v>45695</v>
      </c>
      <c r="B28" t="s">
        <v>7</v>
      </c>
      <c r="C28" t="s">
        <v>14</v>
      </c>
      <c r="D28" t="s">
        <v>18</v>
      </c>
      <c r="E28">
        <v>5</v>
      </c>
      <c r="F28">
        <v>120000</v>
      </c>
      <c r="G28">
        <v>600000</v>
      </c>
    </row>
    <row r="29" spans="1:7" x14ac:dyDescent="0.45">
      <c r="A29" s="2">
        <v>45697</v>
      </c>
      <c r="B29" t="s">
        <v>9</v>
      </c>
      <c r="C29" t="s">
        <v>13</v>
      </c>
      <c r="D29" t="s">
        <v>18</v>
      </c>
      <c r="E29">
        <v>4</v>
      </c>
      <c r="F29">
        <v>120000</v>
      </c>
      <c r="G29">
        <v>480000</v>
      </c>
    </row>
    <row r="30" spans="1:7" hidden="1" x14ac:dyDescent="0.45">
      <c r="A30" s="2">
        <v>45698</v>
      </c>
      <c r="B30" t="s">
        <v>8</v>
      </c>
      <c r="C30" t="s">
        <v>15</v>
      </c>
      <c r="D30" t="s">
        <v>18</v>
      </c>
      <c r="E30">
        <v>3</v>
      </c>
      <c r="F30">
        <v>120000</v>
      </c>
      <c r="G30">
        <v>360000</v>
      </c>
    </row>
    <row r="31" spans="1:7" hidden="1" x14ac:dyDescent="0.45">
      <c r="A31" s="2">
        <v>45698</v>
      </c>
      <c r="B31" t="s">
        <v>7</v>
      </c>
      <c r="C31" t="s">
        <v>13</v>
      </c>
      <c r="D31" t="s">
        <v>19</v>
      </c>
      <c r="E31">
        <v>9</v>
      </c>
      <c r="F31">
        <v>5000</v>
      </c>
      <c r="G31">
        <v>45000</v>
      </c>
    </row>
    <row r="32" spans="1:7" x14ac:dyDescent="0.45">
      <c r="A32" s="2">
        <v>45701</v>
      </c>
      <c r="B32" t="s">
        <v>9</v>
      </c>
      <c r="C32" t="s">
        <v>12</v>
      </c>
      <c r="D32" t="s">
        <v>18</v>
      </c>
      <c r="E32">
        <v>9</v>
      </c>
      <c r="F32">
        <v>120000</v>
      </c>
      <c r="G32">
        <v>1080000</v>
      </c>
    </row>
    <row r="33" spans="1:7" hidden="1" x14ac:dyDescent="0.45">
      <c r="A33" s="2">
        <v>45702</v>
      </c>
      <c r="B33" t="s">
        <v>7</v>
      </c>
      <c r="C33" t="s">
        <v>11</v>
      </c>
      <c r="D33" t="s">
        <v>19</v>
      </c>
      <c r="E33">
        <v>18</v>
      </c>
      <c r="F33">
        <v>5000</v>
      </c>
      <c r="G33">
        <v>90000</v>
      </c>
    </row>
    <row r="34" spans="1:7" x14ac:dyDescent="0.45">
      <c r="A34" s="2">
        <v>45705</v>
      </c>
      <c r="B34" t="s">
        <v>10</v>
      </c>
      <c r="C34" t="s">
        <v>13</v>
      </c>
      <c r="D34" t="s">
        <v>20</v>
      </c>
      <c r="E34">
        <v>15</v>
      </c>
      <c r="F34">
        <v>80000</v>
      </c>
      <c r="G34">
        <v>1200000</v>
      </c>
    </row>
    <row r="35" spans="1:7" hidden="1" x14ac:dyDescent="0.45">
      <c r="A35" s="2">
        <v>45705</v>
      </c>
      <c r="B35" t="s">
        <v>7</v>
      </c>
      <c r="C35" t="s">
        <v>13</v>
      </c>
      <c r="D35" t="s">
        <v>18</v>
      </c>
      <c r="E35">
        <v>13</v>
      </c>
      <c r="F35">
        <v>120000</v>
      </c>
      <c r="G35">
        <v>1560000</v>
      </c>
    </row>
    <row r="36" spans="1:7" x14ac:dyDescent="0.45">
      <c r="A36" s="2">
        <v>45706</v>
      </c>
      <c r="B36" t="s">
        <v>10</v>
      </c>
      <c r="C36" t="s">
        <v>11</v>
      </c>
      <c r="D36" t="s">
        <v>17</v>
      </c>
      <c r="E36">
        <v>5</v>
      </c>
      <c r="F36">
        <v>15000</v>
      </c>
      <c r="G36">
        <v>75000</v>
      </c>
    </row>
    <row r="37" spans="1:7" x14ac:dyDescent="0.45">
      <c r="A37" s="2">
        <v>45707</v>
      </c>
      <c r="B37" t="s">
        <v>9</v>
      </c>
      <c r="C37" t="s">
        <v>12</v>
      </c>
      <c r="D37" t="s">
        <v>17</v>
      </c>
      <c r="E37">
        <v>14</v>
      </c>
      <c r="F37">
        <v>15000</v>
      </c>
      <c r="G37">
        <v>210000</v>
      </c>
    </row>
    <row r="38" spans="1:7" hidden="1" x14ac:dyDescent="0.45">
      <c r="A38" s="2">
        <v>45708</v>
      </c>
      <c r="B38" t="s">
        <v>7</v>
      </c>
      <c r="C38" t="s">
        <v>11</v>
      </c>
      <c r="D38" t="s">
        <v>20</v>
      </c>
      <c r="E38">
        <v>10</v>
      </c>
      <c r="F38">
        <v>80000</v>
      </c>
      <c r="G38">
        <v>800000</v>
      </c>
    </row>
    <row r="39" spans="1:7" hidden="1" x14ac:dyDescent="0.45">
      <c r="A39" s="2">
        <v>45708</v>
      </c>
      <c r="B39" t="s">
        <v>7</v>
      </c>
      <c r="C39" t="s">
        <v>15</v>
      </c>
      <c r="D39" t="s">
        <v>20</v>
      </c>
      <c r="E39">
        <v>4</v>
      </c>
      <c r="F39">
        <v>80000</v>
      </c>
      <c r="G39">
        <v>320000</v>
      </c>
    </row>
    <row r="40" spans="1:7" x14ac:dyDescent="0.45">
      <c r="A40" s="2">
        <v>45710</v>
      </c>
      <c r="B40" t="s">
        <v>10</v>
      </c>
      <c r="C40" t="s">
        <v>13</v>
      </c>
      <c r="D40" t="s">
        <v>22</v>
      </c>
      <c r="E40">
        <v>5</v>
      </c>
      <c r="F40">
        <v>350000</v>
      </c>
      <c r="G40">
        <v>1750000</v>
      </c>
    </row>
    <row r="41" spans="1:7" x14ac:dyDescent="0.45">
      <c r="A41" s="2">
        <v>45710</v>
      </c>
      <c r="B41" t="s">
        <v>9</v>
      </c>
      <c r="C41" t="s">
        <v>12</v>
      </c>
      <c r="D41" t="s">
        <v>17</v>
      </c>
      <c r="E41">
        <v>5</v>
      </c>
      <c r="F41">
        <v>15000</v>
      </c>
      <c r="G41">
        <v>75000</v>
      </c>
    </row>
    <row r="42" spans="1:7" hidden="1" x14ac:dyDescent="0.45">
      <c r="A42" s="2">
        <v>45710</v>
      </c>
      <c r="B42" t="s">
        <v>8</v>
      </c>
      <c r="C42" t="s">
        <v>12</v>
      </c>
      <c r="D42" t="s">
        <v>18</v>
      </c>
      <c r="E42">
        <v>5</v>
      </c>
      <c r="F42">
        <v>120000</v>
      </c>
      <c r="G42">
        <v>600000</v>
      </c>
    </row>
    <row r="43" spans="1:7" x14ac:dyDescent="0.45">
      <c r="A43" s="2">
        <v>45711</v>
      </c>
      <c r="B43" t="s">
        <v>10</v>
      </c>
      <c r="C43" t="s">
        <v>14</v>
      </c>
      <c r="D43" t="s">
        <v>19</v>
      </c>
      <c r="E43">
        <v>17</v>
      </c>
      <c r="F43">
        <v>5000</v>
      </c>
      <c r="G43">
        <v>85000</v>
      </c>
    </row>
    <row r="44" spans="1:7" hidden="1" x14ac:dyDescent="0.45">
      <c r="A44" s="2">
        <v>45711</v>
      </c>
      <c r="B44" t="s">
        <v>8</v>
      </c>
      <c r="C44" t="s">
        <v>14</v>
      </c>
      <c r="D44" t="s">
        <v>20</v>
      </c>
      <c r="E44">
        <v>2</v>
      </c>
      <c r="F44">
        <v>80000</v>
      </c>
      <c r="G44">
        <v>160000</v>
      </c>
    </row>
    <row r="45" spans="1:7" x14ac:dyDescent="0.45">
      <c r="A45" s="2">
        <v>45712</v>
      </c>
      <c r="B45" t="s">
        <v>9</v>
      </c>
      <c r="C45" t="s">
        <v>14</v>
      </c>
      <c r="D45" t="s">
        <v>20</v>
      </c>
      <c r="E45">
        <v>1</v>
      </c>
      <c r="F45">
        <v>80000</v>
      </c>
      <c r="G45">
        <v>80000</v>
      </c>
    </row>
    <row r="46" spans="1:7" x14ac:dyDescent="0.45">
      <c r="A46" s="2">
        <v>45715</v>
      </c>
      <c r="B46" t="s">
        <v>9</v>
      </c>
      <c r="C46" t="s">
        <v>11</v>
      </c>
      <c r="D46" t="s">
        <v>22</v>
      </c>
      <c r="E46">
        <v>7</v>
      </c>
      <c r="F46">
        <v>350000</v>
      </c>
      <c r="G46">
        <v>2450000</v>
      </c>
    </row>
    <row r="47" spans="1:7" hidden="1" x14ac:dyDescent="0.45">
      <c r="A47" s="2">
        <v>45716</v>
      </c>
      <c r="B47" t="s">
        <v>7</v>
      </c>
      <c r="C47" t="s">
        <v>14</v>
      </c>
      <c r="D47" t="s">
        <v>22</v>
      </c>
      <c r="E47">
        <v>10</v>
      </c>
      <c r="F47">
        <v>350000</v>
      </c>
      <c r="G47">
        <v>3500000</v>
      </c>
    </row>
    <row r="48" spans="1:7" hidden="1" x14ac:dyDescent="0.45">
      <c r="A48" s="2">
        <v>45717</v>
      </c>
      <c r="B48" t="s">
        <v>8</v>
      </c>
      <c r="C48" t="s">
        <v>15</v>
      </c>
      <c r="D48" t="s">
        <v>22</v>
      </c>
      <c r="E48">
        <v>1</v>
      </c>
      <c r="F48">
        <v>350000</v>
      </c>
      <c r="G48">
        <v>350000</v>
      </c>
    </row>
    <row r="49" spans="1:7" hidden="1" x14ac:dyDescent="0.45">
      <c r="A49" s="2">
        <v>45719</v>
      </c>
      <c r="B49" t="s">
        <v>8</v>
      </c>
      <c r="C49" t="s">
        <v>11</v>
      </c>
      <c r="D49" t="s">
        <v>17</v>
      </c>
      <c r="E49">
        <v>5</v>
      </c>
      <c r="F49">
        <v>15000</v>
      </c>
      <c r="G49">
        <v>75000</v>
      </c>
    </row>
    <row r="50" spans="1:7" hidden="1" x14ac:dyDescent="0.45">
      <c r="A50" s="2">
        <v>45720</v>
      </c>
      <c r="B50" t="s">
        <v>10</v>
      </c>
      <c r="C50" t="s">
        <v>16</v>
      </c>
      <c r="D50" t="s">
        <v>19</v>
      </c>
      <c r="E50">
        <v>9</v>
      </c>
      <c r="F50">
        <v>5000</v>
      </c>
      <c r="G50">
        <v>45000</v>
      </c>
    </row>
    <row r="51" spans="1:7" hidden="1" x14ac:dyDescent="0.45">
      <c r="A51" s="2">
        <v>45721</v>
      </c>
      <c r="B51" t="s">
        <v>10</v>
      </c>
      <c r="C51" t="s">
        <v>12</v>
      </c>
      <c r="D51" t="s">
        <v>21</v>
      </c>
      <c r="E51">
        <v>5</v>
      </c>
      <c r="F51">
        <v>10000</v>
      </c>
      <c r="G51">
        <v>50000</v>
      </c>
    </row>
    <row r="52" spans="1:7" hidden="1" x14ac:dyDescent="0.45">
      <c r="A52" s="2">
        <v>45722</v>
      </c>
      <c r="B52" t="s">
        <v>7</v>
      </c>
      <c r="C52" t="s">
        <v>16</v>
      </c>
      <c r="D52" t="s">
        <v>17</v>
      </c>
      <c r="E52">
        <v>17</v>
      </c>
      <c r="F52">
        <v>15000</v>
      </c>
      <c r="G52">
        <v>255000</v>
      </c>
    </row>
    <row r="53" spans="1:7" hidden="1" x14ac:dyDescent="0.45">
      <c r="A53" s="2">
        <v>45728</v>
      </c>
      <c r="B53" t="s">
        <v>9</v>
      </c>
      <c r="C53" t="s">
        <v>14</v>
      </c>
      <c r="D53" t="s">
        <v>17</v>
      </c>
      <c r="E53">
        <v>5</v>
      </c>
      <c r="F53">
        <v>15000</v>
      </c>
      <c r="G53">
        <v>75000</v>
      </c>
    </row>
    <row r="54" spans="1:7" hidden="1" x14ac:dyDescent="0.45">
      <c r="A54" s="2">
        <v>45729</v>
      </c>
      <c r="B54" t="s">
        <v>8</v>
      </c>
      <c r="C54" t="s">
        <v>14</v>
      </c>
      <c r="D54" t="s">
        <v>21</v>
      </c>
      <c r="E54">
        <v>8</v>
      </c>
      <c r="F54">
        <v>10000</v>
      </c>
      <c r="G54">
        <v>80000</v>
      </c>
    </row>
    <row r="55" spans="1:7" hidden="1" x14ac:dyDescent="0.45">
      <c r="A55" s="2">
        <v>45729</v>
      </c>
      <c r="B55" t="s">
        <v>10</v>
      </c>
      <c r="C55" t="s">
        <v>13</v>
      </c>
      <c r="D55" t="s">
        <v>21</v>
      </c>
      <c r="E55">
        <v>9</v>
      </c>
      <c r="F55">
        <v>10000</v>
      </c>
      <c r="G55">
        <v>90000</v>
      </c>
    </row>
    <row r="56" spans="1:7" hidden="1" x14ac:dyDescent="0.45">
      <c r="A56" s="2">
        <v>45730</v>
      </c>
      <c r="B56" t="s">
        <v>8</v>
      </c>
      <c r="C56" t="s">
        <v>14</v>
      </c>
      <c r="D56" t="s">
        <v>21</v>
      </c>
      <c r="E56">
        <v>2</v>
      </c>
      <c r="F56">
        <v>10000</v>
      </c>
      <c r="G56">
        <v>20000</v>
      </c>
    </row>
    <row r="57" spans="1:7" hidden="1" x14ac:dyDescent="0.45">
      <c r="A57" s="2">
        <v>45732</v>
      </c>
      <c r="B57" t="s">
        <v>7</v>
      </c>
      <c r="C57" t="s">
        <v>11</v>
      </c>
      <c r="D57" t="s">
        <v>19</v>
      </c>
      <c r="E57">
        <v>7</v>
      </c>
      <c r="F57">
        <v>5000</v>
      </c>
      <c r="G57">
        <v>35000</v>
      </c>
    </row>
    <row r="58" spans="1:7" hidden="1" x14ac:dyDescent="0.45">
      <c r="A58" s="2">
        <v>45738</v>
      </c>
      <c r="B58" t="s">
        <v>8</v>
      </c>
      <c r="C58" t="s">
        <v>16</v>
      </c>
      <c r="D58" t="s">
        <v>22</v>
      </c>
      <c r="E58">
        <v>13</v>
      </c>
      <c r="F58">
        <v>350000</v>
      </c>
      <c r="G58">
        <v>4550000</v>
      </c>
    </row>
    <row r="59" spans="1:7" hidden="1" x14ac:dyDescent="0.45">
      <c r="A59" s="2">
        <v>45738</v>
      </c>
      <c r="B59" t="s">
        <v>10</v>
      </c>
      <c r="C59" t="s">
        <v>11</v>
      </c>
      <c r="D59" t="s">
        <v>17</v>
      </c>
      <c r="E59">
        <v>17</v>
      </c>
      <c r="F59">
        <v>15000</v>
      </c>
      <c r="G59">
        <v>255000</v>
      </c>
    </row>
    <row r="60" spans="1:7" hidden="1" x14ac:dyDescent="0.45">
      <c r="A60" s="2">
        <v>45739</v>
      </c>
      <c r="B60" t="s">
        <v>7</v>
      </c>
      <c r="C60" t="s">
        <v>12</v>
      </c>
      <c r="D60" t="s">
        <v>20</v>
      </c>
      <c r="E60">
        <v>4</v>
      </c>
      <c r="F60">
        <v>80000</v>
      </c>
      <c r="G60">
        <v>320000</v>
      </c>
    </row>
    <row r="61" spans="1:7" hidden="1" x14ac:dyDescent="0.45">
      <c r="A61" s="2">
        <v>45741</v>
      </c>
      <c r="B61" t="s">
        <v>9</v>
      </c>
      <c r="C61" t="s">
        <v>14</v>
      </c>
      <c r="D61" t="s">
        <v>20</v>
      </c>
      <c r="E61">
        <v>3</v>
      </c>
      <c r="F61">
        <v>80000</v>
      </c>
      <c r="G61">
        <v>240000</v>
      </c>
    </row>
    <row r="62" spans="1:7" hidden="1" x14ac:dyDescent="0.45">
      <c r="A62" s="2">
        <v>45745</v>
      </c>
      <c r="B62" t="s">
        <v>9</v>
      </c>
      <c r="C62" t="s">
        <v>14</v>
      </c>
      <c r="D62" t="s">
        <v>19</v>
      </c>
      <c r="E62">
        <v>17</v>
      </c>
      <c r="F62">
        <v>5000</v>
      </c>
      <c r="G62">
        <v>85000</v>
      </c>
    </row>
    <row r="63" spans="1:7" hidden="1" x14ac:dyDescent="0.45">
      <c r="A63" s="2">
        <v>45745</v>
      </c>
      <c r="B63" t="s">
        <v>7</v>
      </c>
      <c r="C63" t="s">
        <v>12</v>
      </c>
      <c r="D63" t="s">
        <v>17</v>
      </c>
      <c r="E63">
        <v>17</v>
      </c>
      <c r="F63">
        <v>15000</v>
      </c>
      <c r="G63">
        <v>255000</v>
      </c>
    </row>
    <row r="64" spans="1:7" hidden="1" x14ac:dyDescent="0.45">
      <c r="A64" s="2">
        <v>45745</v>
      </c>
      <c r="B64" t="s">
        <v>7</v>
      </c>
      <c r="C64" t="s">
        <v>11</v>
      </c>
      <c r="D64" t="s">
        <v>18</v>
      </c>
      <c r="E64">
        <v>5</v>
      </c>
      <c r="F64">
        <v>120000</v>
      </c>
      <c r="G64">
        <v>600000</v>
      </c>
    </row>
    <row r="65" spans="1:7" hidden="1" x14ac:dyDescent="0.45">
      <c r="A65" s="2">
        <v>45746</v>
      </c>
      <c r="B65" t="s">
        <v>8</v>
      </c>
      <c r="C65" t="s">
        <v>14</v>
      </c>
      <c r="D65" t="s">
        <v>17</v>
      </c>
      <c r="E65">
        <v>1</v>
      </c>
      <c r="F65">
        <v>15000</v>
      </c>
      <c r="G65">
        <v>15000</v>
      </c>
    </row>
    <row r="66" spans="1:7" hidden="1" x14ac:dyDescent="0.45">
      <c r="A66" s="2">
        <v>45746</v>
      </c>
      <c r="B66" t="s">
        <v>8</v>
      </c>
      <c r="C66" t="s">
        <v>12</v>
      </c>
      <c r="D66" t="s">
        <v>22</v>
      </c>
      <c r="E66">
        <v>7</v>
      </c>
      <c r="F66">
        <v>350000</v>
      </c>
      <c r="G66">
        <v>2450000</v>
      </c>
    </row>
    <row r="67" spans="1:7" hidden="1" x14ac:dyDescent="0.45">
      <c r="A67" s="2">
        <v>45746</v>
      </c>
      <c r="B67" t="s">
        <v>10</v>
      </c>
      <c r="C67" t="s">
        <v>13</v>
      </c>
      <c r="D67" t="s">
        <v>22</v>
      </c>
      <c r="E67">
        <v>3</v>
      </c>
      <c r="F67">
        <v>350000</v>
      </c>
      <c r="G67">
        <v>1050000</v>
      </c>
    </row>
    <row r="68" spans="1:7" hidden="1" x14ac:dyDescent="0.45">
      <c r="A68" s="2">
        <v>45747</v>
      </c>
      <c r="B68" t="s">
        <v>8</v>
      </c>
      <c r="C68" t="s">
        <v>15</v>
      </c>
      <c r="D68" t="s">
        <v>18</v>
      </c>
      <c r="E68">
        <v>11</v>
      </c>
      <c r="F68">
        <v>120000</v>
      </c>
      <c r="G68">
        <v>1320000</v>
      </c>
    </row>
    <row r="69" spans="1:7" hidden="1" x14ac:dyDescent="0.45">
      <c r="A69" s="2">
        <v>45749</v>
      </c>
      <c r="B69" t="s">
        <v>9</v>
      </c>
      <c r="C69" t="s">
        <v>12</v>
      </c>
      <c r="D69" t="s">
        <v>21</v>
      </c>
      <c r="E69">
        <v>1</v>
      </c>
      <c r="F69">
        <v>10000</v>
      </c>
      <c r="G69">
        <v>10000</v>
      </c>
    </row>
    <row r="70" spans="1:7" hidden="1" x14ac:dyDescent="0.45">
      <c r="A70" s="2">
        <v>45750</v>
      </c>
      <c r="B70" t="s">
        <v>7</v>
      </c>
      <c r="C70" t="s">
        <v>13</v>
      </c>
      <c r="D70" t="s">
        <v>17</v>
      </c>
      <c r="E70">
        <v>15</v>
      </c>
      <c r="F70">
        <v>15000</v>
      </c>
      <c r="G70">
        <v>225000</v>
      </c>
    </row>
    <row r="71" spans="1:7" hidden="1" x14ac:dyDescent="0.45">
      <c r="A71" s="2">
        <v>45752</v>
      </c>
      <c r="B71" t="s">
        <v>7</v>
      </c>
      <c r="C71" t="s">
        <v>14</v>
      </c>
      <c r="D71" t="s">
        <v>20</v>
      </c>
      <c r="E71">
        <v>18</v>
      </c>
      <c r="F71">
        <v>80000</v>
      </c>
      <c r="G71">
        <v>1440000</v>
      </c>
    </row>
    <row r="72" spans="1:7" hidden="1" x14ac:dyDescent="0.45">
      <c r="A72" s="2">
        <v>45756</v>
      </c>
      <c r="B72" t="s">
        <v>8</v>
      </c>
      <c r="C72" t="s">
        <v>16</v>
      </c>
      <c r="D72" t="s">
        <v>17</v>
      </c>
      <c r="E72">
        <v>12</v>
      </c>
      <c r="F72">
        <v>15000</v>
      </c>
      <c r="G72">
        <v>180000</v>
      </c>
    </row>
    <row r="73" spans="1:7" hidden="1" x14ac:dyDescent="0.45">
      <c r="A73" s="2">
        <v>45757</v>
      </c>
      <c r="B73" t="s">
        <v>7</v>
      </c>
      <c r="C73" t="s">
        <v>13</v>
      </c>
      <c r="D73" t="s">
        <v>18</v>
      </c>
      <c r="E73">
        <v>12</v>
      </c>
      <c r="F73">
        <v>120000</v>
      </c>
      <c r="G73">
        <v>1440000</v>
      </c>
    </row>
    <row r="74" spans="1:7" hidden="1" x14ac:dyDescent="0.45">
      <c r="A74" s="2">
        <v>45758</v>
      </c>
      <c r="B74" t="s">
        <v>10</v>
      </c>
      <c r="C74" t="s">
        <v>12</v>
      </c>
      <c r="D74" t="s">
        <v>17</v>
      </c>
      <c r="E74">
        <v>13</v>
      </c>
      <c r="F74">
        <v>15000</v>
      </c>
      <c r="G74">
        <v>195000</v>
      </c>
    </row>
    <row r="75" spans="1:7" hidden="1" x14ac:dyDescent="0.45">
      <c r="A75" s="2">
        <v>45760</v>
      </c>
      <c r="B75" t="s">
        <v>7</v>
      </c>
      <c r="C75" t="s">
        <v>12</v>
      </c>
      <c r="D75" t="s">
        <v>17</v>
      </c>
      <c r="E75">
        <v>1</v>
      </c>
      <c r="F75">
        <v>15000</v>
      </c>
      <c r="G75">
        <v>15000</v>
      </c>
    </row>
    <row r="76" spans="1:7" hidden="1" x14ac:dyDescent="0.45">
      <c r="A76" s="2">
        <v>45760</v>
      </c>
      <c r="B76" t="s">
        <v>7</v>
      </c>
      <c r="C76" t="s">
        <v>13</v>
      </c>
      <c r="D76" t="s">
        <v>22</v>
      </c>
      <c r="E76">
        <v>1</v>
      </c>
      <c r="F76">
        <v>350000</v>
      </c>
      <c r="G76">
        <v>350000</v>
      </c>
    </row>
    <row r="77" spans="1:7" hidden="1" x14ac:dyDescent="0.45">
      <c r="A77" s="2">
        <v>45761</v>
      </c>
      <c r="B77" t="s">
        <v>7</v>
      </c>
      <c r="C77" t="s">
        <v>16</v>
      </c>
      <c r="D77" t="s">
        <v>17</v>
      </c>
      <c r="E77">
        <v>16</v>
      </c>
      <c r="F77">
        <v>15000</v>
      </c>
      <c r="G77">
        <v>240000</v>
      </c>
    </row>
    <row r="78" spans="1:7" hidden="1" x14ac:dyDescent="0.45">
      <c r="A78" s="2">
        <v>45761</v>
      </c>
      <c r="B78" t="s">
        <v>10</v>
      </c>
      <c r="C78" t="s">
        <v>12</v>
      </c>
      <c r="D78" t="s">
        <v>19</v>
      </c>
      <c r="E78">
        <v>2</v>
      </c>
      <c r="F78">
        <v>5000</v>
      </c>
      <c r="G78">
        <v>10000</v>
      </c>
    </row>
    <row r="79" spans="1:7" hidden="1" x14ac:dyDescent="0.45">
      <c r="A79" s="2">
        <v>45761</v>
      </c>
      <c r="B79" t="s">
        <v>10</v>
      </c>
      <c r="C79" t="s">
        <v>12</v>
      </c>
      <c r="D79" t="s">
        <v>22</v>
      </c>
      <c r="E79">
        <v>16</v>
      </c>
      <c r="F79">
        <v>350000</v>
      </c>
      <c r="G79">
        <v>5600000</v>
      </c>
    </row>
    <row r="80" spans="1:7" hidden="1" x14ac:dyDescent="0.45">
      <c r="A80" s="2">
        <v>45763</v>
      </c>
      <c r="B80" t="s">
        <v>10</v>
      </c>
      <c r="C80" t="s">
        <v>13</v>
      </c>
      <c r="D80" t="s">
        <v>21</v>
      </c>
      <c r="E80">
        <v>8</v>
      </c>
      <c r="F80">
        <v>10000</v>
      </c>
      <c r="G80">
        <v>80000</v>
      </c>
    </row>
    <row r="81" spans="1:7" hidden="1" x14ac:dyDescent="0.45">
      <c r="A81" s="2">
        <v>45764</v>
      </c>
      <c r="B81" t="s">
        <v>10</v>
      </c>
      <c r="C81" t="s">
        <v>16</v>
      </c>
      <c r="D81" t="s">
        <v>19</v>
      </c>
      <c r="E81">
        <v>16</v>
      </c>
      <c r="F81">
        <v>5000</v>
      </c>
      <c r="G81">
        <v>80000</v>
      </c>
    </row>
    <row r="82" spans="1:7" hidden="1" x14ac:dyDescent="0.45">
      <c r="A82" s="2">
        <v>45765</v>
      </c>
      <c r="B82" t="s">
        <v>10</v>
      </c>
      <c r="C82" t="s">
        <v>14</v>
      </c>
      <c r="D82" t="s">
        <v>18</v>
      </c>
      <c r="E82">
        <v>19</v>
      </c>
      <c r="F82">
        <v>120000</v>
      </c>
      <c r="G82">
        <v>2280000</v>
      </c>
    </row>
    <row r="83" spans="1:7" hidden="1" x14ac:dyDescent="0.45">
      <c r="A83" s="2">
        <v>45768</v>
      </c>
      <c r="B83" t="s">
        <v>10</v>
      </c>
      <c r="C83" t="s">
        <v>11</v>
      </c>
      <c r="D83" t="s">
        <v>20</v>
      </c>
      <c r="E83">
        <v>10</v>
      </c>
      <c r="F83">
        <v>80000</v>
      </c>
      <c r="G83">
        <v>800000</v>
      </c>
    </row>
    <row r="84" spans="1:7" hidden="1" x14ac:dyDescent="0.45">
      <c r="A84" s="2">
        <v>45768</v>
      </c>
      <c r="B84" t="s">
        <v>9</v>
      </c>
      <c r="C84" t="s">
        <v>15</v>
      </c>
      <c r="D84" t="s">
        <v>20</v>
      </c>
      <c r="E84">
        <v>1</v>
      </c>
      <c r="F84">
        <v>80000</v>
      </c>
      <c r="G84">
        <v>80000</v>
      </c>
    </row>
    <row r="85" spans="1:7" hidden="1" x14ac:dyDescent="0.45">
      <c r="A85" s="2">
        <v>45774</v>
      </c>
      <c r="B85" t="s">
        <v>10</v>
      </c>
      <c r="C85" t="s">
        <v>12</v>
      </c>
      <c r="D85" t="s">
        <v>17</v>
      </c>
      <c r="E85">
        <v>3</v>
      </c>
      <c r="F85">
        <v>15000</v>
      </c>
      <c r="G85">
        <v>45000</v>
      </c>
    </row>
    <row r="86" spans="1:7" hidden="1" x14ac:dyDescent="0.45">
      <c r="A86" s="2">
        <v>45779</v>
      </c>
      <c r="B86" t="s">
        <v>8</v>
      </c>
      <c r="C86" t="s">
        <v>14</v>
      </c>
      <c r="D86" t="s">
        <v>19</v>
      </c>
      <c r="E86">
        <v>16</v>
      </c>
      <c r="F86">
        <v>5000</v>
      </c>
      <c r="G86">
        <v>80000</v>
      </c>
    </row>
    <row r="87" spans="1:7" hidden="1" x14ac:dyDescent="0.45">
      <c r="A87" s="2">
        <v>45780</v>
      </c>
      <c r="B87" t="s">
        <v>7</v>
      </c>
      <c r="C87" t="s">
        <v>11</v>
      </c>
      <c r="D87" t="s">
        <v>17</v>
      </c>
      <c r="E87">
        <v>4</v>
      </c>
      <c r="F87">
        <v>15000</v>
      </c>
      <c r="G87">
        <v>60000</v>
      </c>
    </row>
    <row r="88" spans="1:7" hidden="1" x14ac:dyDescent="0.45">
      <c r="A88" s="2">
        <v>45781</v>
      </c>
      <c r="B88" t="s">
        <v>7</v>
      </c>
      <c r="C88" t="s">
        <v>13</v>
      </c>
      <c r="D88" t="s">
        <v>20</v>
      </c>
      <c r="E88">
        <v>17</v>
      </c>
      <c r="F88">
        <v>80000</v>
      </c>
      <c r="G88">
        <v>1360000</v>
      </c>
    </row>
    <row r="89" spans="1:7" hidden="1" x14ac:dyDescent="0.45">
      <c r="A89" s="2">
        <v>45786</v>
      </c>
      <c r="B89" t="s">
        <v>10</v>
      </c>
      <c r="C89" t="s">
        <v>12</v>
      </c>
      <c r="D89" t="s">
        <v>19</v>
      </c>
      <c r="E89">
        <v>13</v>
      </c>
      <c r="F89">
        <v>5000</v>
      </c>
      <c r="G89">
        <v>65000</v>
      </c>
    </row>
    <row r="90" spans="1:7" hidden="1" x14ac:dyDescent="0.45">
      <c r="A90" s="2">
        <v>45787</v>
      </c>
      <c r="B90" t="s">
        <v>10</v>
      </c>
      <c r="C90" t="s">
        <v>11</v>
      </c>
      <c r="D90" t="s">
        <v>17</v>
      </c>
      <c r="E90">
        <v>12</v>
      </c>
      <c r="F90">
        <v>15000</v>
      </c>
      <c r="G90">
        <v>180000</v>
      </c>
    </row>
    <row r="91" spans="1:7" hidden="1" x14ac:dyDescent="0.45">
      <c r="A91" s="2">
        <v>45787</v>
      </c>
      <c r="B91" t="s">
        <v>9</v>
      </c>
      <c r="C91" t="s">
        <v>14</v>
      </c>
      <c r="D91" t="s">
        <v>20</v>
      </c>
      <c r="E91">
        <v>12</v>
      </c>
      <c r="F91">
        <v>80000</v>
      </c>
      <c r="G91">
        <v>960000</v>
      </c>
    </row>
    <row r="92" spans="1:7" hidden="1" x14ac:dyDescent="0.45">
      <c r="A92" s="2">
        <v>45788</v>
      </c>
      <c r="B92" t="s">
        <v>9</v>
      </c>
      <c r="C92" t="s">
        <v>12</v>
      </c>
      <c r="D92" t="s">
        <v>18</v>
      </c>
      <c r="E92">
        <v>13</v>
      </c>
      <c r="F92">
        <v>120000</v>
      </c>
      <c r="G92">
        <v>1560000</v>
      </c>
    </row>
    <row r="93" spans="1:7" hidden="1" x14ac:dyDescent="0.45">
      <c r="A93" s="2">
        <v>45788</v>
      </c>
      <c r="B93" t="s">
        <v>8</v>
      </c>
      <c r="C93" t="s">
        <v>15</v>
      </c>
      <c r="D93" t="s">
        <v>21</v>
      </c>
      <c r="E93">
        <v>5</v>
      </c>
      <c r="F93">
        <v>10000</v>
      </c>
      <c r="G93">
        <v>50000</v>
      </c>
    </row>
    <row r="94" spans="1:7" hidden="1" x14ac:dyDescent="0.45">
      <c r="A94" s="2">
        <v>45789</v>
      </c>
      <c r="B94" t="s">
        <v>8</v>
      </c>
      <c r="C94" t="s">
        <v>15</v>
      </c>
      <c r="D94" t="s">
        <v>20</v>
      </c>
      <c r="E94">
        <v>18</v>
      </c>
      <c r="F94">
        <v>80000</v>
      </c>
      <c r="G94">
        <v>1440000</v>
      </c>
    </row>
    <row r="95" spans="1:7" hidden="1" x14ac:dyDescent="0.45">
      <c r="A95" s="2">
        <v>45789</v>
      </c>
      <c r="B95" t="s">
        <v>7</v>
      </c>
      <c r="C95" t="s">
        <v>11</v>
      </c>
      <c r="D95" t="s">
        <v>22</v>
      </c>
      <c r="E95">
        <v>19</v>
      </c>
      <c r="F95">
        <v>350000</v>
      </c>
      <c r="G95">
        <v>6650000</v>
      </c>
    </row>
    <row r="96" spans="1:7" hidden="1" x14ac:dyDescent="0.45">
      <c r="A96" s="2">
        <v>45791</v>
      </c>
      <c r="B96" t="s">
        <v>10</v>
      </c>
      <c r="C96" t="s">
        <v>11</v>
      </c>
      <c r="D96" t="s">
        <v>18</v>
      </c>
      <c r="E96">
        <v>3</v>
      </c>
      <c r="F96">
        <v>120000</v>
      </c>
      <c r="G96">
        <v>360000</v>
      </c>
    </row>
    <row r="97" spans="1:7" hidden="1" x14ac:dyDescent="0.45">
      <c r="A97" s="2">
        <v>45792</v>
      </c>
      <c r="B97" t="s">
        <v>7</v>
      </c>
      <c r="C97" t="s">
        <v>12</v>
      </c>
      <c r="D97" t="s">
        <v>18</v>
      </c>
      <c r="E97">
        <v>16</v>
      </c>
      <c r="F97">
        <v>120000</v>
      </c>
      <c r="G97">
        <v>1920000</v>
      </c>
    </row>
    <row r="98" spans="1:7" hidden="1" x14ac:dyDescent="0.45">
      <c r="A98" s="2">
        <v>45792</v>
      </c>
      <c r="B98" t="s">
        <v>10</v>
      </c>
      <c r="C98" t="s">
        <v>13</v>
      </c>
      <c r="D98" t="s">
        <v>18</v>
      </c>
      <c r="E98">
        <v>12</v>
      </c>
      <c r="F98">
        <v>120000</v>
      </c>
      <c r="G98">
        <v>1440000</v>
      </c>
    </row>
    <row r="99" spans="1:7" hidden="1" x14ac:dyDescent="0.45">
      <c r="A99" s="2">
        <v>45793</v>
      </c>
      <c r="B99" t="s">
        <v>9</v>
      </c>
      <c r="C99" t="s">
        <v>13</v>
      </c>
      <c r="D99" t="s">
        <v>17</v>
      </c>
      <c r="E99">
        <v>3</v>
      </c>
      <c r="F99">
        <v>15000</v>
      </c>
      <c r="G99">
        <v>45000</v>
      </c>
    </row>
    <row r="100" spans="1:7" hidden="1" x14ac:dyDescent="0.45">
      <c r="A100" s="2">
        <v>45793</v>
      </c>
      <c r="B100" t="s">
        <v>8</v>
      </c>
      <c r="C100" t="s">
        <v>12</v>
      </c>
      <c r="D100" t="s">
        <v>19</v>
      </c>
      <c r="E100">
        <v>16</v>
      </c>
      <c r="F100">
        <v>5000</v>
      </c>
      <c r="G100">
        <v>80000</v>
      </c>
    </row>
    <row r="101" spans="1:7" hidden="1" x14ac:dyDescent="0.45">
      <c r="A101" s="2">
        <v>45796</v>
      </c>
      <c r="B101" t="s">
        <v>8</v>
      </c>
      <c r="C101" t="s">
        <v>14</v>
      </c>
      <c r="D101" t="s">
        <v>18</v>
      </c>
      <c r="E101">
        <v>17</v>
      </c>
      <c r="F101">
        <v>120000</v>
      </c>
      <c r="G101">
        <v>2040000</v>
      </c>
    </row>
    <row r="102" spans="1:7" hidden="1" x14ac:dyDescent="0.45">
      <c r="A102" s="2">
        <v>45803</v>
      </c>
      <c r="B102" t="s">
        <v>10</v>
      </c>
      <c r="C102" t="s">
        <v>11</v>
      </c>
      <c r="D102" t="s">
        <v>20</v>
      </c>
      <c r="E102">
        <v>19</v>
      </c>
      <c r="F102">
        <v>80000</v>
      </c>
      <c r="G102">
        <v>1520000</v>
      </c>
    </row>
    <row r="103" spans="1:7" hidden="1" x14ac:dyDescent="0.45">
      <c r="A103" s="2">
        <v>45807</v>
      </c>
      <c r="B103" t="s">
        <v>9</v>
      </c>
      <c r="C103" t="s">
        <v>13</v>
      </c>
      <c r="D103" t="s">
        <v>19</v>
      </c>
      <c r="E103">
        <v>14</v>
      </c>
      <c r="F103">
        <v>5000</v>
      </c>
      <c r="G103">
        <v>70000</v>
      </c>
    </row>
    <row r="104" spans="1:7" hidden="1" x14ac:dyDescent="0.45">
      <c r="A104" s="2">
        <v>45808</v>
      </c>
      <c r="B104" t="s">
        <v>8</v>
      </c>
      <c r="C104" t="s">
        <v>11</v>
      </c>
      <c r="D104" t="s">
        <v>20</v>
      </c>
      <c r="E104">
        <v>16</v>
      </c>
      <c r="F104">
        <v>80000</v>
      </c>
      <c r="G104">
        <v>1280000</v>
      </c>
    </row>
    <row r="105" spans="1:7" hidden="1" x14ac:dyDescent="0.45">
      <c r="A105" s="2">
        <v>45809</v>
      </c>
      <c r="B105" t="s">
        <v>8</v>
      </c>
      <c r="C105" t="s">
        <v>14</v>
      </c>
      <c r="D105" t="s">
        <v>18</v>
      </c>
      <c r="E105">
        <v>19</v>
      </c>
      <c r="F105">
        <v>120000</v>
      </c>
      <c r="G105">
        <v>2280000</v>
      </c>
    </row>
    <row r="106" spans="1:7" hidden="1" x14ac:dyDescent="0.45">
      <c r="A106" s="2">
        <v>45811</v>
      </c>
      <c r="B106" t="s">
        <v>10</v>
      </c>
      <c r="C106" t="s">
        <v>15</v>
      </c>
      <c r="D106" t="s">
        <v>19</v>
      </c>
      <c r="E106">
        <v>3</v>
      </c>
      <c r="F106">
        <v>5000</v>
      </c>
      <c r="G106">
        <v>15000</v>
      </c>
    </row>
    <row r="107" spans="1:7" hidden="1" x14ac:dyDescent="0.45">
      <c r="A107" s="2">
        <v>45814</v>
      </c>
      <c r="B107" t="s">
        <v>9</v>
      </c>
      <c r="C107" t="s">
        <v>15</v>
      </c>
      <c r="D107" t="s">
        <v>18</v>
      </c>
      <c r="E107">
        <v>16</v>
      </c>
      <c r="F107">
        <v>120000</v>
      </c>
      <c r="G107">
        <v>1920000</v>
      </c>
    </row>
    <row r="108" spans="1:7" hidden="1" x14ac:dyDescent="0.45">
      <c r="A108" s="2">
        <v>45815</v>
      </c>
      <c r="B108" t="s">
        <v>9</v>
      </c>
      <c r="C108" t="s">
        <v>12</v>
      </c>
      <c r="D108" t="s">
        <v>22</v>
      </c>
      <c r="E108">
        <v>14</v>
      </c>
      <c r="F108">
        <v>350000</v>
      </c>
      <c r="G108">
        <v>4900000</v>
      </c>
    </row>
    <row r="109" spans="1:7" hidden="1" x14ac:dyDescent="0.45">
      <c r="A109" s="2">
        <v>45818</v>
      </c>
      <c r="B109" t="s">
        <v>10</v>
      </c>
      <c r="C109" t="s">
        <v>16</v>
      </c>
      <c r="D109" t="s">
        <v>19</v>
      </c>
      <c r="E109">
        <v>16</v>
      </c>
      <c r="F109">
        <v>5000</v>
      </c>
      <c r="G109">
        <v>80000</v>
      </c>
    </row>
    <row r="110" spans="1:7" hidden="1" x14ac:dyDescent="0.45">
      <c r="A110" s="2">
        <v>45819</v>
      </c>
      <c r="B110" t="s">
        <v>10</v>
      </c>
      <c r="C110" t="s">
        <v>16</v>
      </c>
      <c r="D110" t="s">
        <v>21</v>
      </c>
      <c r="E110">
        <v>14</v>
      </c>
      <c r="F110">
        <v>10000</v>
      </c>
      <c r="G110">
        <v>140000</v>
      </c>
    </row>
    <row r="111" spans="1:7" hidden="1" x14ac:dyDescent="0.45">
      <c r="A111" s="2">
        <v>45819</v>
      </c>
      <c r="B111" t="s">
        <v>10</v>
      </c>
      <c r="C111" t="s">
        <v>14</v>
      </c>
      <c r="D111" t="s">
        <v>21</v>
      </c>
      <c r="E111">
        <v>7</v>
      </c>
      <c r="F111">
        <v>10000</v>
      </c>
      <c r="G111">
        <v>70000</v>
      </c>
    </row>
    <row r="112" spans="1:7" hidden="1" x14ac:dyDescent="0.45">
      <c r="A112" s="2">
        <v>45820</v>
      </c>
      <c r="B112" t="s">
        <v>9</v>
      </c>
      <c r="C112" t="s">
        <v>12</v>
      </c>
      <c r="D112" t="s">
        <v>18</v>
      </c>
      <c r="E112">
        <v>13</v>
      </c>
      <c r="F112">
        <v>120000</v>
      </c>
      <c r="G112">
        <v>1560000</v>
      </c>
    </row>
    <row r="113" spans="1:7" hidden="1" x14ac:dyDescent="0.45">
      <c r="A113" s="2">
        <v>45820</v>
      </c>
      <c r="B113" t="s">
        <v>9</v>
      </c>
      <c r="C113" t="s">
        <v>14</v>
      </c>
      <c r="D113" t="s">
        <v>21</v>
      </c>
      <c r="E113">
        <v>19</v>
      </c>
      <c r="F113">
        <v>10000</v>
      </c>
      <c r="G113">
        <v>190000</v>
      </c>
    </row>
    <row r="114" spans="1:7" hidden="1" x14ac:dyDescent="0.45">
      <c r="A114" s="2">
        <v>45821</v>
      </c>
      <c r="B114" t="s">
        <v>7</v>
      </c>
      <c r="C114" t="s">
        <v>11</v>
      </c>
      <c r="D114" t="s">
        <v>19</v>
      </c>
      <c r="E114">
        <v>12</v>
      </c>
      <c r="F114">
        <v>5000</v>
      </c>
      <c r="G114">
        <v>60000</v>
      </c>
    </row>
    <row r="115" spans="1:7" hidden="1" x14ac:dyDescent="0.45">
      <c r="A115" s="2">
        <v>45824</v>
      </c>
      <c r="B115" t="s">
        <v>9</v>
      </c>
      <c r="C115" t="s">
        <v>12</v>
      </c>
      <c r="D115" t="s">
        <v>20</v>
      </c>
      <c r="E115">
        <v>17</v>
      </c>
      <c r="F115">
        <v>80000</v>
      </c>
      <c r="G115">
        <v>1360000</v>
      </c>
    </row>
    <row r="116" spans="1:7" hidden="1" x14ac:dyDescent="0.45">
      <c r="A116" s="2">
        <v>45827</v>
      </c>
      <c r="B116" t="s">
        <v>7</v>
      </c>
      <c r="C116" t="s">
        <v>11</v>
      </c>
      <c r="D116" t="s">
        <v>21</v>
      </c>
      <c r="E116">
        <v>5</v>
      </c>
      <c r="F116">
        <v>10000</v>
      </c>
      <c r="G116">
        <v>50000</v>
      </c>
    </row>
    <row r="117" spans="1:7" hidden="1" x14ac:dyDescent="0.45">
      <c r="A117" s="2">
        <v>45829</v>
      </c>
      <c r="B117" t="s">
        <v>8</v>
      </c>
      <c r="C117" t="s">
        <v>12</v>
      </c>
      <c r="D117" t="s">
        <v>22</v>
      </c>
      <c r="E117">
        <v>8</v>
      </c>
      <c r="F117">
        <v>350000</v>
      </c>
      <c r="G117">
        <v>2800000</v>
      </c>
    </row>
    <row r="118" spans="1:7" hidden="1" x14ac:dyDescent="0.45">
      <c r="A118" s="2">
        <v>45829</v>
      </c>
      <c r="B118" t="s">
        <v>7</v>
      </c>
      <c r="C118" t="s">
        <v>13</v>
      </c>
      <c r="D118" t="s">
        <v>18</v>
      </c>
      <c r="E118">
        <v>4</v>
      </c>
      <c r="F118">
        <v>120000</v>
      </c>
      <c r="G118">
        <v>480000</v>
      </c>
    </row>
    <row r="119" spans="1:7" hidden="1" x14ac:dyDescent="0.45">
      <c r="A119" s="2">
        <v>45832</v>
      </c>
      <c r="B119" t="s">
        <v>7</v>
      </c>
      <c r="C119" t="s">
        <v>11</v>
      </c>
      <c r="D119" t="s">
        <v>22</v>
      </c>
      <c r="E119">
        <v>2</v>
      </c>
      <c r="F119">
        <v>350000</v>
      </c>
      <c r="G119">
        <v>700000</v>
      </c>
    </row>
    <row r="120" spans="1:7" hidden="1" x14ac:dyDescent="0.45">
      <c r="A120" s="2">
        <v>45832</v>
      </c>
      <c r="B120" t="s">
        <v>7</v>
      </c>
      <c r="C120" t="s">
        <v>14</v>
      </c>
      <c r="D120" t="s">
        <v>19</v>
      </c>
      <c r="E120">
        <v>11</v>
      </c>
      <c r="F120">
        <v>5000</v>
      </c>
      <c r="G120">
        <v>55000</v>
      </c>
    </row>
    <row r="121" spans="1:7" hidden="1" x14ac:dyDescent="0.45">
      <c r="A121" s="2">
        <v>45837</v>
      </c>
      <c r="B121" t="s">
        <v>8</v>
      </c>
      <c r="C121" t="s">
        <v>11</v>
      </c>
      <c r="D121" t="s">
        <v>19</v>
      </c>
      <c r="E121">
        <v>1</v>
      </c>
      <c r="F121">
        <v>5000</v>
      </c>
      <c r="G121">
        <v>5000</v>
      </c>
    </row>
  </sheetData>
  <autoFilter ref="A1:G121" xr:uid="{00000000-0001-0000-0000-000000000000}">
    <filterColumn colId="0">
      <filters>
        <dateGroupItem year="2025" month="2" dateTimeGrouping="month"/>
      </filters>
    </filterColumn>
    <filterColumn colId="1">
      <filters>
        <filter val="North"/>
        <filter val="West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K27" sqref="K27"/>
    </sheetView>
  </sheetViews>
  <sheetFormatPr defaultRowHeight="14.25" x14ac:dyDescent="0.45"/>
  <sheetData>
    <row r="1" spans="1:1" x14ac:dyDescent="0.45">
      <c r="A1" s="1" t="s">
        <v>23</v>
      </c>
    </row>
    <row r="2" spans="1:1" x14ac:dyDescent="0.45">
      <c r="A2" t="s">
        <v>24</v>
      </c>
    </row>
    <row r="3" spans="1:1" x14ac:dyDescent="0.45">
      <c r="A3" t="s">
        <v>25</v>
      </c>
    </row>
    <row r="4" spans="1:1" x14ac:dyDescent="0.45">
      <c r="A4" t="s">
        <v>26</v>
      </c>
    </row>
    <row r="5" spans="1:1" x14ac:dyDescent="0.45">
      <c r="A5" t="s">
        <v>27</v>
      </c>
    </row>
    <row r="6" spans="1:1" x14ac:dyDescent="0.45">
      <c r="A6" t="s">
        <v>28</v>
      </c>
    </row>
    <row r="7" spans="1:1" x14ac:dyDescent="0.45">
      <c r="A7" t="s">
        <v>29</v>
      </c>
    </row>
    <row r="8" spans="1:1" x14ac:dyDescent="0.45">
      <c r="A8" t="s">
        <v>30</v>
      </c>
    </row>
    <row r="9" spans="1:1" x14ac:dyDescent="0.45">
      <c r="A9" t="s">
        <v>31</v>
      </c>
    </row>
    <row r="10" spans="1:1" x14ac:dyDescent="0.45">
      <c r="A10" t="s">
        <v>32</v>
      </c>
    </row>
    <row r="11" spans="1:1" x14ac:dyDescent="0.45">
      <c r="A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Sales_Data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tolas</dc:creator>
  <cp:lastModifiedBy>Ajibade omotola</cp:lastModifiedBy>
  <cp:lastPrinted>2025-10-14T19:46:55Z</cp:lastPrinted>
  <dcterms:created xsi:type="dcterms:W3CDTF">2025-10-14T12:19:18Z</dcterms:created>
  <dcterms:modified xsi:type="dcterms:W3CDTF">2026-02-26T13:25:57Z</dcterms:modified>
</cp:coreProperties>
</file>